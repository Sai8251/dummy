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illasaiganesh.vc\Desktop\Reporting\B2B trends\"/>
    </mc:Choice>
  </mc:AlternateContent>
  <xr:revisionPtr revIDLastSave="0" documentId="13_ncr:1_{63E017F5-61E5-41EA-AB4F-194DCDB37C59}" xr6:coauthVersionLast="47" xr6:coauthVersionMax="47" xr10:uidLastSave="{00000000-0000-0000-0000-000000000000}"/>
  <bookViews>
    <workbookView xWindow="-110" yWindow="-110" windowWidth="19420" windowHeight="12220" firstSheet="2" activeTab="2" xr2:uid="{00000000-000D-0000-FFFF-FFFF00000000}"/>
  </bookViews>
  <sheets>
    <sheet name="Sheet1 (2)" sheetId="5" state="hidden" r:id="rId1"/>
    <sheet name="Making process" sheetId="6" state="hidden" r:id="rId2"/>
    <sheet name="view" sheetId="3" r:id="rId3"/>
    <sheet name="Base" sheetId="1" r:id="rId4"/>
    <sheet name="Sheet1" sheetId="8" state="hidden" r:id="rId5"/>
    <sheet name="master" sheetId="7" state="hidden" r:id="rId6"/>
    <sheet name="MAPPING" sheetId="2" state="hidden" r:id="rId7"/>
  </sheets>
  <externalReferences>
    <externalReference r:id="rId8"/>
  </externalReferences>
  <definedNames>
    <definedName name="_xlnm._FilterDatabase" localSheetId="3" hidden="1">Base!$B$2:$R$2</definedName>
    <definedName name="_xlnm._FilterDatabase" localSheetId="6" hidden="1">MAPPING!$X$2:$AB$2</definedName>
    <definedName name="_xlnm._FilterDatabase" localSheetId="5" hidden="1">master!$B$2:$G$2</definedName>
    <definedName name="_xlnm._FilterDatabase" localSheetId="0" hidden="1">'Sheet1 (2)'!$B$2:$P$2</definedName>
    <definedName name="_xlnm._FilterDatabase" localSheetId="2" hidden="1">view!$B$125:$F$145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K423" i="1"/>
  <c r="K30" i="1"/>
  <c r="O30" i="1" s="1"/>
  <c r="L30" i="1"/>
  <c r="P30" i="1" s="1"/>
  <c r="G30" i="1"/>
  <c r="J30" i="1"/>
  <c r="AB328" i="2"/>
  <c r="X357" i="2"/>
  <c r="AB357" i="2" s="1"/>
  <c r="X316" i="2"/>
  <c r="AB316" i="2" s="1"/>
  <c r="X4" i="2"/>
  <c r="AB4" i="2" s="1"/>
  <c r="X5" i="2"/>
  <c r="AB5" i="2" s="1"/>
  <c r="X6" i="2"/>
  <c r="AB6" i="2" s="1"/>
  <c r="X7" i="2"/>
  <c r="AB7" i="2" s="1"/>
  <c r="X8" i="2"/>
  <c r="AB8" i="2" s="1"/>
  <c r="X9" i="2"/>
  <c r="AB9" i="2" s="1"/>
  <c r="X10" i="2"/>
  <c r="AB10" i="2" s="1"/>
  <c r="X11" i="2"/>
  <c r="AB11" i="2" s="1"/>
  <c r="X12" i="2"/>
  <c r="AB12" i="2" s="1"/>
  <c r="X13" i="2"/>
  <c r="AB13" i="2" s="1"/>
  <c r="X14" i="2"/>
  <c r="AB14" i="2" s="1"/>
  <c r="X15" i="2"/>
  <c r="AB15" i="2" s="1"/>
  <c r="X16" i="2"/>
  <c r="AB16" i="2" s="1"/>
  <c r="X17" i="2"/>
  <c r="AB17" i="2" s="1"/>
  <c r="X18" i="2"/>
  <c r="AB18" i="2" s="1"/>
  <c r="X19" i="2"/>
  <c r="AB19" i="2" s="1"/>
  <c r="X20" i="2"/>
  <c r="AB20" i="2" s="1"/>
  <c r="X21" i="2"/>
  <c r="AB21" i="2" s="1"/>
  <c r="X22" i="2"/>
  <c r="AB22" i="2" s="1"/>
  <c r="X23" i="2"/>
  <c r="AB23" i="2" s="1"/>
  <c r="X24" i="2"/>
  <c r="AB24" i="2" s="1"/>
  <c r="X25" i="2"/>
  <c r="AB25" i="2" s="1"/>
  <c r="X26" i="2"/>
  <c r="AB26" i="2" s="1"/>
  <c r="X27" i="2"/>
  <c r="AB27" i="2" s="1"/>
  <c r="X28" i="2"/>
  <c r="AB28" i="2" s="1"/>
  <c r="X29" i="2"/>
  <c r="AB29" i="2" s="1"/>
  <c r="X30" i="2"/>
  <c r="AB30" i="2" s="1"/>
  <c r="X31" i="2"/>
  <c r="AB31" i="2" s="1"/>
  <c r="X32" i="2"/>
  <c r="AB32" i="2" s="1"/>
  <c r="X33" i="2"/>
  <c r="AB33" i="2" s="1"/>
  <c r="X34" i="2"/>
  <c r="AB34" i="2" s="1"/>
  <c r="X35" i="2"/>
  <c r="AB35" i="2" s="1"/>
  <c r="X36" i="2"/>
  <c r="AB36" i="2" s="1"/>
  <c r="X37" i="2"/>
  <c r="AB37" i="2" s="1"/>
  <c r="X38" i="2"/>
  <c r="AB38" i="2" s="1"/>
  <c r="X39" i="2"/>
  <c r="AB39" i="2" s="1"/>
  <c r="X40" i="2"/>
  <c r="AB40" i="2" s="1"/>
  <c r="X41" i="2"/>
  <c r="AB41" i="2" s="1"/>
  <c r="X42" i="2"/>
  <c r="AB42" i="2" s="1"/>
  <c r="X43" i="2"/>
  <c r="AB43" i="2" s="1"/>
  <c r="X44" i="2"/>
  <c r="AB44" i="2" s="1"/>
  <c r="X46" i="2"/>
  <c r="AB46" i="2" s="1"/>
  <c r="X47" i="2"/>
  <c r="AB47" i="2" s="1"/>
  <c r="X48" i="2"/>
  <c r="AB48" i="2" s="1"/>
  <c r="X49" i="2"/>
  <c r="AB49" i="2" s="1"/>
  <c r="X50" i="2"/>
  <c r="AB50" i="2" s="1"/>
  <c r="X51" i="2"/>
  <c r="AB51" i="2" s="1"/>
  <c r="X52" i="2"/>
  <c r="AB52" i="2" s="1"/>
  <c r="X53" i="2"/>
  <c r="AB53" i="2" s="1"/>
  <c r="X54" i="2"/>
  <c r="AB54" i="2" s="1"/>
  <c r="X55" i="2"/>
  <c r="AB55" i="2" s="1"/>
  <c r="X56" i="2"/>
  <c r="AB56" i="2" s="1"/>
  <c r="X57" i="2"/>
  <c r="AB57" i="2" s="1"/>
  <c r="X58" i="2"/>
  <c r="AB58" i="2" s="1"/>
  <c r="X59" i="2"/>
  <c r="AB59" i="2" s="1"/>
  <c r="X60" i="2"/>
  <c r="AB60" i="2" s="1"/>
  <c r="X61" i="2"/>
  <c r="AB61" i="2" s="1"/>
  <c r="X62" i="2"/>
  <c r="AB62" i="2" s="1"/>
  <c r="X63" i="2"/>
  <c r="AB63" i="2" s="1"/>
  <c r="X64" i="2"/>
  <c r="AB64" i="2" s="1"/>
  <c r="X65" i="2"/>
  <c r="AB65" i="2" s="1"/>
  <c r="X66" i="2"/>
  <c r="AB66" i="2" s="1"/>
  <c r="X67" i="2"/>
  <c r="AB67" i="2" s="1"/>
  <c r="X68" i="2"/>
  <c r="AB68" i="2" s="1"/>
  <c r="X69" i="2"/>
  <c r="AB69" i="2" s="1"/>
  <c r="X70" i="2"/>
  <c r="AB70" i="2" s="1"/>
  <c r="X71" i="2"/>
  <c r="AB71" i="2" s="1"/>
  <c r="X72" i="2"/>
  <c r="AB72" i="2" s="1"/>
  <c r="X73" i="2"/>
  <c r="AB73" i="2" s="1"/>
  <c r="X74" i="2"/>
  <c r="AB74" i="2" s="1"/>
  <c r="X75" i="2"/>
  <c r="AB75" i="2" s="1"/>
  <c r="X76" i="2"/>
  <c r="AB76" i="2" s="1"/>
  <c r="X77" i="2"/>
  <c r="AB77" i="2" s="1"/>
  <c r="X78" i="2"/>
  <c r="AB78" i="2" s="1"/>
  <c r="X79" i="2"/>
  <c r="AB79" i="2" s="1"/>
  <c r="X80" i="2"/>
  <c r="AB80" i="2" s="1"/>
  <c r="X81" i="2"/>
  <c r="AB81" i="2" s="1"/>
  <c r="X84" i="2"/>
  <c r="AB84" i="2" s="1"/>
  <c r="X85" i="2"/>
  <c r="AB85" i="2" s="1"/>
  <c r="X86" i="2"/>
  <c r="AB86" i="2" s="1"/>
  <c r="X88" i="2"/>
  <c r="AB88" i="2" s="1"/>
  <c r="X89" i="2"/>
  <c r="AB89" i="2" s="1"/>
  <c r="X90" i="2"/>
  <c r="AB90" i="2" s="1"/>
  <c r="X91" i="2"/>
  <c r="AB91" i="2" s="1"/>
  <c r="X92" i="2"/>
  <c r="AB92" i="2" s="1"/>
  <c r="X93" i="2"/>
  <c r="AB93" i="2" s="1"/>
  <c r="X94" i="2"/>
  <c r="AB94" i="2" s="1"/>
  <c r="X95" i="2"/>
  <c r="AB95" i="2" s="1"/>
  <c r="X96" i="2"/>
  <c r="AB96" i="2" s="1"/>
  <c r="X97" i="2"/>
  <c r="AB97" i="2" s="1"/>
  <c r="X98" i="2"/>
  <c r="AB98" i="2" s="1"/>
  <c r="X99" i="2"/>
  <c r="AB99" i="2" s="1"/>
  <c r="X100" i="2"/>
  <c r="AB100" i="2" s="1"/>
  <c r="X102" i="2"/>
  <c r="AB102" i="2" s="1"/>
  <c r="X103" i="2"/>
  <c r="AB103" i="2" s="1"/>
  <c r="X104" i="2"/>
  <c r="AB104" i="2" s="1"/>
  <c r="X105" i="2"/>
  <c r="AB105" i="2" s="1"/>
  <c r="X106" i="2"/>
  <c r="AB106" i="2" s="1"/>
  <c r="X107" i="2"/>
  <c r="AB107" i="2" s="1"/>
  <c r="X108" i="2"/>
  <c r="AB108" i="2" s="1"/>
  <c r="X109" i="2"/>
  <c r="AB109" i="2" s="1"/>
  <c r="X110" i="2"/>
  <c r="AB110" i="2" s="1"/>
  <c r="X111" i="2"/>
  <c r="AB111" i="2" s="1"/>
  <c r="X112" i="2"/>
  <c r="AB112" i="2" s="1"/>
  <c r="X113" i="2"/>
  <c r="AB113" i="2" s="1"/>
  <c r="X114" i="2"/>
  <c r="AB114" i="2" s="1"/>
  <c r="X115" i="2"/>
  <c r="AB115" i="2" s="1"/>
  <c r="X117" i="2"/>
  <c r="AB117" i="2" s="1"/>
  <c r="X118" i="2"/>
  <c r="AB118" i="2" s="1"/>
  <c r="X119" i="2"/>
  <c r="AB119" i="2" s="1"/>
  <c r="X120" i="2"/>
  <c r="AB120" i="2" s="1"/>
  <c r="X121" i="2"/>
  <c r="AB121" i="2" s="1"/>
  <c r="X122" i="2"/>
  <c r="AB122" i="2" s="1"/>
  <c r="X123" i="2"/>
  <c r="AB123" i="2" s="1"/>
  <c r="X124" i="2"/>
  <c r="AB124" i="2" s="1"/>
  <c r="X125" i="2"/>
  <c r="AB125" i="2" s="1"/>
  <c r="X126" i="2"/>
  <c r="AB126" i="2" s="1"/>
  <c r="X127" i="2"/>
  <c r="AB127" i="2" s="1"/>
  <c r="X128" i="2"/>
  <c r="AB128" i="2" s="1"/>
  <c r="X129" i="2"/>
  <c r="AB129" i="2" s="1"/>
  <c r="X130" i="2"/>
  <c r="AB130" i="2" s="1"/>
  <c r="X131" i="2"/>
  <c r="AB131" i="2" s="1"/>
  <c r="X132" i="2"/>
  <c r="AB132" i="2" s="1"/>
  <c r="X133" i="2"/>
  <c r="AB133" i="2" s="1"/>
  <c r="X135" i="2"/>
  <c r="AB135" i="2" s="1"/>
  <c r="X136" i="2"/>
  <c r="AB136" i="2" s="1"/>
  <c r="X137" i="2"/>
  <c r="AB137" i="2" s="1"/>
  <c r="X142" i="2"/>
  <c r="AB142" i="2" s="1"/>
  <c r="X144" i="2"/>
  <c r="AB144" i="2" s="1"/>
  <c r="X145" i="2"/>
  <c r="AB145" i="2" s="1"/>
  <c r="X146" i="2"/>
  <c r="AB146" i="2" s="1"/>
  <c r="X148" i="2"/>
  <c r="AB148" i="2" s="1"/>
  <c r="X150" i="2"/>
  <c r="AB150" i="2" s="1"/>
  <c r="X151" i="2"/>
  <c r="AB151" i="2" s="1"/>
  <c r="X152" i="2"/>
  <c r="AB152" i="2" s="1"/>
  <c r="X153" i="2"/>
  <c r="AB153" i="2" s="1"/>
  <c r="X154" i="2"/>
  <c r="AB154" i="2" s="1"/>
  <c r="X155" i="2"/>
  <c r="AB155" i="2" s="1"/>
  <c r="X156" i="2"/>
  <c r="AB156" i="2" s="1"/>
  <c r="X157" i="2"/>
  <c r="AB157" i="2" s="1"/>
  <c r="X158" i="2"/>
  <c r="AB158" i="2" s="1"/>
  <c r="X159" i="2"/>
  <c r="AB159" i="2" s="1"/>
  <c r="X160" i="2"/>
  <c r="AB160" i="2" s="1"/>
  <c r="X161" i="2"/>
  <c r="AB161" i="2" s="1"/>
  <c r="X163" i="2"/>
  <c r="AB163" i="2" s="1"/>
  <c r="X164" i="2"/>
  <c r="AB164" i="2" s="1"/>
  <c r="X165" i="2"/>
  <c r="AB165" i="2" s="1"/>
  <c r="X166" i="2"/>
  <c r="AB166" i="2" s="1"/>
  <c r="X167" i="2"/>
  <c r="AB167" i="2" s="1"/>
  <c r="X168" i="2"/>
  <c r="AB168" i="2" s="1"/>
  <c r="X169" i="2"/>
  <c r="AB169" i="2" s="1"/>
  <c r="X170" i="2"/>
  <c r="AB170" i="2" s="1"/>
  <c r="X171" i="2"/>
  <c r="AB171" i="2" s="1"/>
  <c r="X172" i="2"/>
  <c r="AB172" i="2" s="1"/>
  <c r="X173" i="2"/>
  <c r="AB173" i="2" s="1"/>
  <c r="X174" i="2"/>
  <c r="AB174" i="2" s="1"/>
  <c r="X175" i="2"/>
  <c r="AB175" i="2" s="1"/>
  <c r="X176" i="2"/>
  <c r="AB176" i="2" s="1"/>
  <c r="X180" i="2"/>
  <c r="AB180" i="2" s="1"/>
  <c r="X181" i="2"/>
  <c r="AB181" i="2" s="1"/>
  <c r="X183" i="2"/>
  <c r="AB183" i="2" s="1"/>
  <c r="X184" i="2"/>
  <c r="AB184" i="2" s="1"/>
  <c r="X185" i="2"/>
  <c r="AB185" i="2" s="1"/>
  <c r="X186" i="2"/>
  <c r="AB186" i="2" s="1"/>
  <c r="X188" i="2"/>
  <c r="AB188" i="2" s="1"/>
  <c r="X189" i="2"/>
  <c r="AB189" i="2" s="1"/>
  <c r="X190" i="2"/>
  <c r="AB190" i="2" s="1"/>
  <c r="X191" i="2"/>
  <c r="AB191" i="2" s="1"/>
  <c r="X192" i="2"/>
  <c r="AB192" i="2" s="1"/>
  <c r="X193" i="2"/>
  <c r="AB193" i="2" s="1"/>
  <c r="X194" i="2"/>
  <c r="AB194" i="2" s="1"/>
  <c r="X197" i="2"/>
  <c r="AB197" i="2" s="1"/>
  <c r="X199" i="2"/>
  <c r="AB199" i="2" s="1"/>
  <c r="X200" i="2"/>
  <c r="AB200" i="2" s="1"/>
  <c r="X201" i="2"/>
  <c r="AB201" i="2" s="1"/>
  <c r="X202" i="2"/>
  <c r="AB202" i="2" s="1"/>
  <c r="X203" i="2"/>
  <c r="AB203" i="2" s="1"/>
  <c r="X204" i="2"/>
  <c r="AB204" i="2" s="1"/>
  <c r="X205" i="2"/>
  <c r="AB205" i="2" s="1"/>
  <c r="X206" i="2"/>
  <c r="AB206" i="2" s="1"/>
  <c r="X209" i="2"/>
  <c r="AB209" i="2" s="1"/>
  <c r="X210" i="2"/>
  <c r="AB210" i="2" s="1"/>
  <c r="X211" i="2"/>
  <c r="AB211" i="2" s="1"/>
  <c r="X212" i="2"/>
  <c r="AB212" i="2" s="1"/>
  <c r="X213" i="2"/>
  <c r="AB213" i="2" s="1"/>
  <c r="X215" i="2"/>
  <c r="AB215" i="2" s="1"/>
  <c r="X216" i="2"/>
  <c r="AB216" i="2" s="1"/>
  <c r="X217" i="2"/>
  <c r="AB217" i="2" s="1"/>
  <c r="X218" i="2"/>
  <c r="AB218" i="2" s="1"/>
  <c r="X220" i="2"/>
  <c r="AB220" i="2" s="1"/>
  <c r="X221" i="2"/>
  <c r="AB221" i="2" s="1"/>
  <c r="X222" i="2"/>
  <c r="AB222" i="2" s="1"/>
  <c r="X223" i="2"/>
  <c r="AB223" i="2" s="1"/>
  <c r="X224" i="2"/>
  <c r="AB224" i="2" s="1"/>
  <c r="X225" i="2"/>
  <c r="AB225" i="2" s="1"/>
  <c r="X227" i="2"/>
  <c r="AB227" i="2" s="1"/>
  <c r="X230" i="2"/>
  <c r="AB230" i="2" s="1"/>
  <c r="X231" i="2"/>
  <c r="AB231" i="2" s="1"/>
  <c r="X232" i="2"/>
  <c r="AB232" i="2" s="1"/>
  <c r="X234" i="2"/>
  <c r="AB234" i="2" s="1"/>
  <c r="X235" i="2"/>
  <c r="AB235" i="2" s="1"/>
  <c r="X236" i="2"/>
  <c r="AB236" i="2" s="1"/>
  <c r="X237" i="2"/>
  <c r="AB237" i="2" s="1"/>
  <c r="X238" i="2"/>
  <c r="AB238" i="2" s="1"/>
  <c r="X239" i="2"/>
  <c r="AB239" i="2" s="1"/>
  <c r="X240" i="2"/>
  <c r="AB240" i="2" s="1"/>
  <c r="X241" i="2"/>
  <c r="AB241" i="2" s="1"/>
  <c r="X242" i="2"/>
  <c r="AB242" i="2" s="1"/>
  <c r="X244" i="2"/>
  <c r="AB244" i="2" s="1"/>
  <c r="X245" i="2"/>
  <c r="AB245" i="2" s="1"/>
  <c r="X246" i="2"/>
  <c r="AB246" i="2" s="1"/>
  <c r="X247" i="2"/>
  <c r="AB247" i="2" s="1"/>
  <c r="X249" i="2"/>
  <c r="AB249" i="2" s="1"/>
  <c r="X251" i="2"/>
  <c r="AB251" i="2" s="1"/>
  <c r="X254" i="2"/>
  <c r="AB254" i="2" s="1"/>
  <c r="X255" i="2"/>
  <c r="AB255" i="2" s="1"/>
  <c r="X257" i="2"/>
  <c r="AB257" i="2" s="1"/>
  <c r="X258" i="2"/>
  <c r="AB258" i="2" s="1"/>
  <c r="X259" i="2"/>
  <c r="AB259" i="2" s="1"/>
  <c r="X261" i="2"/>
  <c r="AB261" i="2" s="1"/>
  <c r="X262" i="2"/>
  <c r="AB262" i="2" s="1"/>
  <c r="X263" i="2"/>
  <c r="AB263" i="2" s="1"/>
  <c r="X265" i="2"/>
  <c r="AB265" i="2" s="1"/>
  <c r="X266" i="2"/>
  <c r="AB266" i="2" s="1"/>
  <c r="X268" i="2"/>
  <c r="AB268" i="2" s="1"/>
  <c r="X269" i="2"/>
  <c r="AB269" i="2" s="1"/>
  <c r="X270" i="2"/>
  <c r="AB270" i="2" s="1"/>
  <c r="X271" i="2"/>
  <c r="AB271" i="2" s="1"/>
  <c r="X272" i="2"/>
  <c r="AB272" i="2" s="1"/>
  <c r="X274" i="2"/>
  <c r="AB274" i="2" s="1"/>
  <c r="X275" i="2"/>
  <c r="AB275" i="2" s="1"/>
  <c r="X276" i="2"/>
  <c r="AB276" i="2" s="1"/>
  <c r="X277" i="2"/>
  <c r="AB277" i="2" s="1"/>
  <c r="X278" i="2"/>
  <c r="AB278" i="2" s="1"/>
  <c r="X279" i="2"/>
  <c r="AB279" i="2" s="1"/>
  <c r="X280" i="2"/>
  <c r="AB280" i="2" s="1"/>
  <c r="X281" i="2"/>
  <c r="AB281" i="2" s="1"/>
  <c r="X282" i="2"/>
  <c r="AB282" i="2" s="1"/>
  <c r="X283" i="2"/>
  <c r="AB283" i="2" s="1"/>
  <c r="X284" i="2"/>
  <c r="AB284" i="2" s="1"/>
  <c r="X285" i="2"/>
  <c r="AB285" i="2" s="1"/>
  <c r="X286" i="2"/>
  <c r="AB286" i="2" s="1"/>
  <c r="X287" i="2"/>
  <c r="AB287" i="2" s="1"/>
  <c r="X288" i="2"/>
  <c r="AB288" i="2" s="1"/>
  <c r="X289" i="2"/>
  <c r="AB289" i="2" s="1"/>
  <c r="X290" i="2"/>
  <c r="AB290" i="2" s="1"/>
  <c r="X291" i="2"/>
  <c r="AB291" i="2" s="1"/>
  <c r="X294" i="2"/>
  <c r="AB294" i="2" s="1"/>
  <c r="X296" i="2"/>
  <c r="AB296" i="2" s="1"/>
  <c r="X297" i="2"/>
  <c r="AB297" i="2" s="1"/>
  <c r="X298" i="2"/>
  <c r="AB298" i="2" s="1"/>
  <c r="X299" i="2"/>
  <c r="AB299" i="2" s="1"/>
  <c r="X301" i="2"/>
  <c r="AB301" i="2" s="1"/>
  <c r="X303" i="2"/>
  <c r="AB303" i="2" s="1"/>
  <c r="X304" i="2"/>
  <c r="AB304" i="2" s="1"/>
  <c r="X305" i="2"/>
  <c r="AB305" i="2" s="1"/>
  <c r="X307" i="2"/>
  <c r="AB307" i="2" s="1"/>
  <c r="X308" i="2"/>
  <c r="AB308" i="2" s="1"/>
  <c r="X310" i="2"/>
  <c r="AB310" i="2" s="1"/>
  <c r="X311" i="2"/>
  <c r="AB311" i="2" s="1"/>
  <c r="X312" i="2"/>
  <c r="AB312" i="2" s="1"/>
  <c r="X313" i="2"/>
  <c r="AB313" i="2" s="1"/>
  <c r="X314" i="2"/>
  <c r="AB314" i="2" s="1"/>
  <c r="X315" i="2"/>
  <c r="AB315" i="2" s="1"/>
  <c r="X317" i="2"/>
  <c r="AB317" i="2" s="1"/>
  <c r="X318" i="2"/>
  <c r="AB318" i="2" s="1"/>
  <c r="X320" i="2"/>
  <c r="AB320" i="2" s="1"/>
  <c r="X321" i="2"/>
  <c r="AB321" i="2" s="1"/>
  <c r="X324" i="2"/>
  <c r="AB324" i="2" s="1"/>
  <c r="X332" i="2"/>
  <c r="AB332" i="2" s="1"/>
  <c r="X333" i="2"/>
  <c r="AB333" i="2" s="1"/>
  <c r="X334" i="2"/>
  <c r="AB334" i="2" s="1"/>
  <c r="X335" i="2"/>
  <c r="AB335" i="2" s="1"/>
  <c r="X3" i="2"/>
  <c r="AB3" i="2" s="1"/>
  <c r="E1" i="1"/>
  <c r="F1" i="1"/>
  <c r="G158" i="1"/>
  <c r="G174" i="1"/>
  <c r="G182" i="1"/>
  <c r="G208" i="1"/>
  <c r="G222" i="1"/>
  <c r="G104" i="1"/>
  <c r="G137" i="1"/>
  <c r="G142" i="1"/>
  <c r="G81" i="1"/>
  <c r="V3" i="1"/>
  <c r="W3" i="1"/>
  <c r="X3" i="1" s="1"/>
  <c r="V4" i="1"/>
  <c r="W4" i="1"/>
  <c r="X4" i="1" s="1"/>
  <c r="V6" i="1"/>
  <c r="W6" i="1"/>
  <c r="X6" i="1" s="1"/>
  <c r="V7" i="1"/>
  <c r="W7" i="1"/>
  <c r="X7" i="1" s="1"/>
  <c r="V8" i="1"/>
  <c r="W8" i="1"/>
  <c r="X8" i="1" s="1"/>
  <c r="V9" i="1"/>
  <c r="W9" i="1"/>
  <c r="X9" i="1" s="1"/>
  <c r="V10" i="1"/>
  <c r="W10" i="1"/>
  <c r="X10" i="1" s="1"/>
  <c r="V11" i="1"/>
  <c r="W11" i="1"/>
  <c r="X11" i="1" s="1"/>
  <c r="V12" i="1"/>
  <c r="W12" i="1"/>
  <c r="X12" i="1" s="1"/>
  <c r="V13" i="1"/>
  <c r="W13" i="1"/>
  <c r="X13" i="1" s="1"/>
  <c r="V16" i="1"/>
  <c r="W16" i="1"/>
  <c r="X16" i="1" s="1"/>
  <c r="V17" i="1"/>
  <c r="W17" i="1"/>
  <c r="X17" i="1" s="1"/>
  <c r="V18" i="1"/>
  <c r="W18" i="1"/>
  <c r="X18" i="1" s="1"/>
  <c r="V19" i="1"/>
  <c r="W19" i="1"/>
  <c r="X19" i="1" s="1"/>
  <c r="V20" i="1"/>
  <c r="W20" i="1"/>
  <c r="X20" i="1" s="1"/>
  <c r="V21" i="1"/>
  <c r="W21" i="1"/>
  <c r="X21" i="1" s="1"/>
  <c r="V22" i="1"/>
  <c r="W22" i="1"/>
  <c r="X22" i="1" s="1"/>
  <c r="V23" i="1"/>
  <c r="W23" i="1"/>
  <c r="X23" i="1" s="1"/>
  <c r="V24" i="1"/>
  <c r="W24" i="1"/>
  <c r="X24" i="1" s="1"/>
  <c r="V25" i="1"/>
  <c r="W25" i="1"/>
  <c r="X25" i="1" s="1"/>
  <c r="V26" i="1"/>
  <c r="W26" i="1"/>
  <c r="X26" i="1" s="1"/>
  <c r="V27" i="1"/>
  <c r="W27" i="1"/>
  <c r="X27" i="1" s="1"/>
  <c r="V28" i="1"/>
  <c r="W28" i="1"/>
  <c r="X28" i="1" s="1"/>
  <c r="V30" i="1"/>
  <c r="W30" i="1"/>
  <c r="X30" i="1" s="1"/>
  <c r="V31" i="1"/>
  <c r="W31" i="1"/>
  <c r="X31" i="1" s="1"/>
  <c r="V32" i="1"/>
  <c r="W32" i="1"/>
  <c r="X32" i="1" s="1"/>
  <c r="V33" i="1"/>
  <c r="W33" i="1"/>
  <c r="X33" i="1" s="1"/>
  <c r="V34" i="1"/>
  <c r="W34" i="1"/>
  <c r="X34" i="1" s="1"/>
  <c r="V35" i="1"/>
  <c r="W35" i="1"/>
  <c r="X35" i="1" s="1"/>
  <c r="V38" i="1"/>
  <c r="W38" i="1"/>
  <c r="X38" i="1" s="1"/>
  <c r="V39" i="1"/>
  <c r="W39" i="1"/>
  <c r="X39" i="1" s="1"/>
  <c r="V41" i="1"/>
  <c r="W41" i="1"/>
  <c r="X41" i="1" s="1"/>
  <c r="V43" i="1"/>
  <c r="W43" i="1"/>
  <c r="X43" i="1" s="1"/>
  <c r="V44" i="1"/>
  <c r="W44" i="1"/>
  <c r="X44" i="1" s="1"/>
  <c r="V45" i="1"/>
  <c r="W45" i="1"/>
  <c r="X45" i="1" s="1"/>
  <c r="V46" i="1"/>
  <c r="W46" i="1"/>
  <c r="X46" i="1" s="1"/>
  <c r="V47" i="1"/>
  <c r="W47" i="1"/>
  <c r="X47" i="1" s="1"/>
  <c r="V49" i="1"/>
  <c r="W49" i="1"/>
  <c r="X49" i="1" s="1"/>
  <c r="V50" i="1"/>
  <c r="W50" i="1"/>
  <c r="X50" i="1" s="1"/>
  <c r="V51" i="1"/>
  <c r="W51" i="1"/>
  <c r="X51" i="1" s="1"/>
  <c r="V52" i="1"/>
  <c r="W52" i="1"/>
  <c r="X52" i="1" s="1"/>
  <c r="V53" i="1"/>
  <c r="W53" i="1"/>
  <c r="X53" i="1" s="1"/>
  <c r="V54" i="1"/>
  <c r="W54" i="1"/>
  <c r="X54" i="1" s="1"/>
  <c r="V55" i="1"/>
  <c r="W55" i="1"/>
  <c r="X55" i="1" s="1"/>
  <c r="V57" i="1"/>
  <c r="W57" i="1"/>
  <c r="X57" i="1" s="1"/>
  <c r="V58" i="1"/>
  <c r="W58" i="1"/>
  <c r="X58" i="1"/>
  <c r="V59" i="1"/>
  <c r="W59" i="1"/>
  <c r="X59" i="1" s="1"/>
  <c r="V60" i="1"/>
  <c r="W60" i="1"/>
  <c r="X60" i="1" s="1"/>
  <c r="V61" i="1"/>
  <c r="W61" i="1"/>
  <c r="X61" i="1" s="1"/>
  <c r="V62" i="1"/>
  <c r="W62" i="1"/>
  <c r="X62" i="1" s="1"/>
  <c r="V63" i="1"/>
  <c r="W63" i="1"/>
  <c r="X63" i="1" s="1"/>
  <c r="V64" i="1"/>
  <c r="W64" i="1"/>
  <c r="X64" i="1" s="1"/>
  <c r="V65" i="1"/>
  <c r="W65" i="1"/>
  <c r="X65" i="1" s="1"/>
  <c r="V66" i="1"/>
  <c r="W66" i="1"/>
  <c r="X66" i="1" s="1"/>
  <c r="V67" i="1"/>
  <c r="W67" i="1"/>
  <c r="X67" i="1" s="1"/>
  <c r="V69" i="1"/>
  <c r="W69" i="1"/>
  <c r="X69" i="1" s="1"/>
  <c r="V73" i="1"/>
  <c r="W73" i="1"/>
  <c r="X73" i="1" s="1"/>
  <c r="V76" i="1"/>
  <c r="W76" i="1"/>
  <c r="X76" i="1"/>
  <c r="V79" i="1"/>
  <c r="W79" i="1"/>
  <c r="X79" i="1" s="1"/>
  <c r="V80" i="1"/>
  <c r="W80" i="1"/>
  <c r="X80" i="1" s="1"/>
  <c r="V82" i="1"/>
  <c r="W82" i="1"/>
  <c r="X82" i="1" s="1"/>
  <c r="V83" i="1"/>
  <c r="W83" i="1"/>
  <c r="X83" i="1" s="1"/>
  <c r="V84" i="1"/>
  <c r="W84" i="1"/>
  <c r="X84" i="1" s="1"/>
  <c r="V85" i="1"/>
  <c r="W85" i="1"/>
  <c r="X85" i="1" s="1"/>
  <c r="V86" i="1"/>
  <c r="W86" i="1"/>
  <c r="X86" i="1" s="1"/>
  <c r="V87" i="1"/>
  <c r="W87" i="1"/>
  <c r="X87" i="1" s="1"/>
  <c r="V88" i="1"/>
  <c r="W88" i="1"/>
  <c r="X88" i="1" s="1"/>
  <c r="V89" i="1"/>
  <c r="W89" i="1"/>
  <c r="X89" i="1" s="1"/>
  <c r="V90" i="1"/>
  <c r="W90" i="1"/>
  <c r="X90" i="1" s="1"/>
  <c r="V92" i="1"/>
  <c r="W92" i="1"/>
  <c r="X92" i="1" s="1"/>
  <c r="V93" i="1"/>
  <c r="W93" i="1"/>
  <c r="X93" i="1" s="1"/>
  <c r="V97" i="1"/>
  <c r="W97" i="1"/>
  <c r="X97" i="1" s="1"/>
  <c r="V98" i="1"/>
  <c r="W98" i="1"/>
  <c r="X98" i="1" s="1"/>
  <c r="V99" i="1"/>
  <c r="W99" i="1"/>
  <c r="X99" i="1" s="1"/>
  <c r="V100" i="1"/>
  <c r="W100" i="1"/>
  <c r="X100" i="1" s="1"/>
  <c r="V103" i="1"/>
  <c r="W103" i="1"/>
  <c r="X103" i="1" s="1"/>
  <c r="V104" i="1"/>
  <c r="W104" i="1"/>
  <c r="X104" i="1" s="1"/>
  <c r="V106" i="1"/>
  <c r="W106" i="1"/>
  <c r="X106" i="1" s="1"/>
  <c r="V108" i="1"/>
  <c r="W108" i="1"/>
  <c r="X108" i="1" s="1"/>
  <c r="V110" i="1"/>
  <c r="W110" i="1"/>
  <c r="X110" i="1" s="1"/>
  <c r="V111" i="1"/>
  <c r="W111" i="1"/>
  <c r="X111" i="1" s="1"/>
  <c r="V113" i="1"/>
  <c r="W113" i="1"/>
  <c r="X113" i="1" s="1"/>
  <c r="V115" i="1"/>
  <c r="W115" i="1"/>
  <c r="X115" i="1" s="1"/>
  <c r="V117" i="1"/>
  <c r="W117" i="1"/>
  <c r="X117" i="1" s="1"/>
  <c r="V118" i="1"/>
  <c r="W118" i="1"/>
  <c r="X118" i="1" s="1"/>
  <c r="V120" i="1"/>
  <c r="W120" i="1"/>
  <c r="X120" i="1" s="1"/>
  <c r="V121" i="1"/>
  <c r="W121" i="1"/>
  <c r="X121" i="1" s="1"/>
  <c r="V122" i="1"/>
  <c r="W122" i="1"/>
  <c r="X122" i="1" s="1"/>
  <c r="V128" i="1"/>
  <c r="W128" i="1"/>
  <c r="X128" i="1" s="1"/>
  <c r="V129" i="1"/>
  <c r="W129" i="1"/>
  <c r="X129" i="1" s="1"/>
  <c r="V130" i="1"/>
  <c r="W130" i="1"/>
  <c r="X130" i="1" s="1"/>
  <c r="V131" i="1"/>
  <c r="W131" i="1"/>
  <c r="X131" i="1" s="1"/>
  <c r="V133" i="1"/>
  <c r="W133" i="1"/>
  <c r="X133" i="1" s="1"/>
  <c r="V134" i="1"/>
  <c r="W134" i="1"/>
  <c r="X134" i="1" s="1"/>
  <c r="V135" i="1"/>
  <c r="W135" i="1"/>
  <c r="X135" i="1" s="1"/>
  <c r="V136" i="1"/>
  <c r="W136" i="1"/>
  <c r="X136" i="1" s="1"/>
  <c r="V137" i="1"/>
  <c r="W137" i="1"/>
  <c r="X137" i="1" s="1"/>
  <c r="V138" i="1"/>
  <c r="W138" i="1"/>
  <c r="X138" i="1" s="1"/>
  <c r="V139" i="1"/>
  <c r="W139" i="1"/>
  <c r="X139" i="1" s="1"/>
  <c r="V145" i="1"/>
  <c r="W145" i="1"/>
  <c r="X145" i="1" s="1"/>
  <c r="V146" i="1"/>
  <c r="W146" i="1"/>
  <c r="X146" i="1" s="1"/>
  <c r="V147" i="1"/>
  <c r="W147" i="1"/>
  <c r="X147" i="1" s="1"/>
  <c r="V148" i="1"/>
  <c r="W148" i="1"/>
  <c r="X148" i="1" s="1"/>
  <c r="V149" i="1"/>
  <c r="W149" i="1"/>
  <c r="X149" i="1" s="1"/>
  <c r="V150" i="1"/>
  <c r="W150" i="1"/>
  <c r="X150" i="1" s="1"/>
  <c r="V151" i="1"/>
  <c r="W151" i="1"/>
  <c r="X151" i="1" s="1"/>
  <c r="V154" i="1"/>
  <c r="W154" i="1"/>
  <c r="X154" i="1" s="1"/>
  <c r="V156" i="1"/>
  <c r="W156" i="1"/>
  <c r="X156" i="1" s="1"/>
  <c r="V157" i="1"/>
  <c r="W157" i="1"/>
  <c r="X157" i="1" s="1"/>
  <c r="V158" i="1"/>
  <c r="W158" i="1"/>
  <c r="X158" i="1" s="1"/>
  <c r="V159" i="1"/>
  <c r="W159" i="1"/>
  <c r="X159" i="1" s="1"/>
  <c r="V161" i="1"/>
  <c r="W161" i="1"/>
  <c r="X161" i="1" s="1"/>
  <c r="V162" i="1"/>
  <c r="W162" i="1"/>
  <c r="X162" i="1" s="1"/>
  <c r="V163" i="1"/>
  <c r="W163" i="1"/>
  <c r="X163" i="1" s="1"/>
  <c r="V164" i="1"/>
  <c r="W164" i="1"/>
  <c r="X164" i="1" s="1"/>
  <c r="V165" i="1"/>
  <c r="W165" i="1"/>
  <c r="X165" i="1" s="1"/>
  <c r="V169" i="1"/>
  <c r="W169" i="1"/>
  <c r="X169" i="1" s="1"/>
  <c r="V173" i="1"/>
  <c r="W173" i="1"/>
  <c r="X173" i="1" s="1"/>
  <c r="V175" i="1"/>
  <c r="W175" i="1"/>
  <c r="X175" i="1" s="1"/>
  <c r="V181" i="1"/>
  <c r="W181" i="1"/>
  <c r="X181" i="1" s="1"/>
  <c r="V184" i="1"/>
  <c r="W184" i="1"/>
  <c r="X184" i="1" s="1"/>
  <c r="V185" i="1"/>
  <c r="W185" i="1"/>
  <c r="X185" i="1" s="1"/>
  <c r="V186" i="1"/>
  <c r="W186" i="1"/>
  <c r="X186" i="1" s="1"/>
  <c r="V187" i="1"/>
  <c r="W187" i="1"/>
  <c r="X187" i="1"/>
  <c r="V190" i="1"/>
  <c r="W190" i="1"/>
  <c r="X190" i="1" s="1"/>
  <c r="V191" i="1"/>
  <c r="W191" i="1"/>
  <c r="X191" i="1" s="1"/>
  <c r="V192" i="1"/>
  <c r="W192" i="1"/>
  <c r="X192" i="1" s="1"/>
  <c r="V193" i="1"/>
  <c r="W193" i="1"/>
  <c r="X193" i="1" s="1"/>
  <c r="V196" i="1"/>
  <c r="W196" i="1"/>
  <c r="X196" i="1" s="1"/>
  <c r="V198" i="1"/>
  <c r="W198" i="1"/>
  <c r="X198" i="1" s="1"/>
  <c r="V201" i="1"/>
  <c r="W201" i="1"/>
  <c r="X201" i="1" s="1"/>
  <c r="V202" i="1"/>
  <c r="W202" i="1"/>
  <c r="X202" i="1" s="1"/>
  <c r="V206" i="1"/>
  <c r="W206" i="1"/>
  <c r="X206" i="1" s="1"/>
  <c r="V207" i="1"/>
  <c r="W207" i="1"/>
  <c r="X207" i="1" s="1"/>
  <c r="V208" i="1"/>
  <c r="W208" i="1"/>
  <c r="X208" i="1" s="1"/>
  <c r="V209" i="1"/>
  <c r="W209" i="1"/>
  <c r="X209" i="1" s="1"/>
  <c r="V210" i="1"/>
  <c r="W210" i="1"/>
  <c r="X210" i="1" s="1"/>
  <c r="V211" i="1"/>
  <c r="W211" i="1"/>
  <c r="X211" i="1" s="1"/>
  <c r="V212" i="1"/>
  <c r="W212" i="1"/>
  <c r="X212" i="1" s="1"/>
  <c r="V214" i="1"/>
  <c r="W214" i="1"/>
  <c r="X214" i="1" s="1"/>
  <c r="V215" i="1"/>
  <c r="W215" i="1"/>
  <c r="X215" i="1" s="1"/>
  <c r="V216" i="1"/>
  <c r="W216" i="1"/>
  <c r="X216" i="1" s="1"/>
  <c r="V218" i="1"/>
  <c r="W218" i="1"/>
  <c r="X218" i="1" s="1"/>
  <c r="V220" i="1"/>
  <c r="W220" i="1"/>
  <c r="X220" i="1" s="1"/>
  <c r="V221" i="1"/>
  <c r="W221" i="1"/>
  <c r="X221" i="1" s="1"/>
  <c r="V222" i="1"/>
  <c r="W222" i="1"/>
  <c r="X222" i="1" s="1"/>
  <c r="V223" i="1"/>
  <c r="W223" i="1"/>
  <c r="X223" i="1" s="1"/>
  <c r="V224" i="1"/>
  <c r="W224" i="1"/>
  <c r="X224" i="1" s="1"/>
  <c r="V225" i="1"/>
  <c r="W225" i="1"/>
  <c r="X225" i="1" s="1"/>
  <c r="V226" i="1"/>
  <c r="W226" i="1"/>
  <c r="X226" i="1" s="1"/>
  <c r="V228" i="1"/>
  <c r="W228" i="1"/>
  <c r="X228" i="1" s="1"/>
  <c r="V229" i="1"/>
  <c r="W229" i="1"/>
  <c r="X229" i="1" s="1"/>
  <c r="V231" i="1"/>
  <c r="W231" i="1"/>
  <c r="X231" i="1" s="1"/>
  <c r="V232" i="1"/>
  <c r="W232" i="1"/>
  <c r="X232" i="1" s="1"/>
  <c r="V233" i="1"/>
  <c r="W233" i="1"/>
  <c r="X233" i="1" s="1"/>
  <c r="V234" i="1"/>
  <c r="W234" i="1"/>
  <c r="X234" i="1" s="1"/>
  <c r="V235" i="1"/>
  <c r="W235" i="1"/>
  <c r="X235" i="1" s="1"/>
  <c r="V236" i="1"/>
  <c r="W236" i="1"/>
  <c r="X236" i="1" s="1"/>
  <c r="V237" i="1"/>
  <c r="W237" i="1"/>
  <c r="X237" i="1" s="1"/>
  <c r="V238" i="1"/>
  <c r="W238" i="1"/>
  <c r="X238" i="1" s="1"/>
  <c r="V239" i="1"/>
  <c r="W239" i="1"/>
  <c r="X239" i="1" s="1"/>
  <c r="V240" i="1"/>
  <c r="W240" i="1"/>
  <c r="X240" i="1" s="1"/>
  <c r="V241" i="1"/>
  <c r="W241" i="1"/>
  <c r="X241" i="1" s="1"/>
  <c r="V242" i="1"/>
  <c r="W242" i="1"/>
  <c r="X242" i="1" s="1"/>
  <c r="V243" i="1"/>
  <c r="W243" i="1"/>
  <c r="X243" i="1" s="1"/>
  <c r="V244" i="1"/>
  <c r="W244" i="1"/>
  <c r="X244" i="1" s="1"/>
  <c r="V245" i="1"/>
  <c r="W245" i="1"/>
  <c r="X245" i="1" s="1"/>
  <c r="V246" i="1"/>
  <c r="W246" i="1"/>
  <c r="X246" i="1" s="1"/>
  <c r="V247" i="1"/>
  <c r="W247" i="1"/>
  <c r="X247" i="1" s="1"/>
  <c r="V248" i="1"/>
  <c r="W248" i="1"/>
  <c r="X248" i="1" s="1"/>
  <c r="V249" i="1"/>
  <c r="W249" i="1"/>
  <c r="X249" i="1" s="1"/>
  <c r="V250" i="1"/>
  <c r="W250" i="1"/>
  <c r="X250" i="1" s="1"/>
  <c r="V251" i="1"/>
  <c r="W251" i="1"/>
  <c r="X251" i="1" s="1"/>
  <c r="V252" i="1"/>
  <c r="W252" i="1"/>
  <c r="X252" i="1" s="1"/>
  <c r="V253" i="1"/>
  <c r="W253" i="1"/>
  <c r="X253" i="1" s="1"/>
  <c r="V254" i="1"/>
  <c r="W254" i="1"/>
  <c r="X254" i="1" s="1"/>
  <c r="V255" i="1"/>
  <c r="W255" i="1"/>
  <c r="X255" i="1" s="1"/>
  <c r="V256" i="1"/>
  <c r="W256" i="1"/>
  <c r="X256" i="1" s="1"/>
  <c r="V257" i="1"/>
  <c r="W257" i="1"/>
  <c r="X257" i="1" s="1"/>
  <c r="V258" i="1"/>
  <c r="W258" i="1"/>
  <c r="X258" i="1" s="1"/>
  <c r="V259" i="1"/>
  <c r="W259" i="1"/>
  <c r="X259" i="1" s="1"/>
  <c r="V260" i="1"/>
  <c r="W260" i="1"/>
  <c r="X260" i="1" s="1"/>
  <c r="V261" i="1"/>
  <c r="W261" i="1"/>
  <c r="X261" i="1" s="1"/>
  <c r="V262" i="1"/>
  <c r="W262" i="1"/>
  <c r="X262" i="1" s="1"/>
  <c r="V263" i="1"/>
  <c r="W263" i="1"/>
  <c r="X263" i="1" s="1"/>
  <c r="V264" i="1"/>
  <c r="W264" i="1"/>
  <c r="X264" i="1" s="1"/>
  <c r="V265" i="1"/>
  <c r="W265" i="1"/>
  <c r="X265" i="1" s="1"/>
  <c r="V266" i="1"/>
  <c r="W266" i="1"/>
  <c r="X266" i="1" s="1"/>
  <c r="V267" i="1"/>
  <c r="W267" i="1"/>
  <c r="X267" i="1" s="1"/>
  <c r="V268" i="1"/>
  <c r="W268" i="1"/>
  <c r="X268" i="1" s="1"/>
  <c r="V270" i="1"/>
  <c r="W270" i="1"/>
  <c r="X270" i="1" s="1"/>
  <c r="V271" i="1"/>
  <c r="W271" i="1"/>
  <c r="X271" i="1" s="1"/>
  <c r="V272" i="1"/>
  <c r="W272" i="1"/>
  <c r="X272" i="1" s="1"/>
  <c r="V273" i="1"/>
  <c r="W273" i="1"/>
  <c r="X273" i="1" s="1"/>
  <c r="V274" i="1"/>
  <c r="W274" i="1"/>
  <c r="X274" i="1" s="1"/>
  <c r="V275" i="1"/>
  <c r="W275" i="1"/>
  <c r="X275" i="1" s="1"/>
  <c r="V276" i="1"/>
  <c r="W276" i="1"/>
  <c r="X276" i="1" s="1"/>
  <c r="V277" i="1"/>
  <c r="W277" i="1"/>
  <c r="X277" i="1" s="1"/>
  <c r="V278" i="1"/>
  <c r="W278" i="1"/>
  <c r="X278" i="1" s="1"/>
  <c r="V279" i="1"/>
  <c r="W279" i="1"/>
  <c r="X279" i="1" s="1"/>
  <c r="V280" i="1"/>
  <c r="W280" i="1"/>
  <c r="X280" i="1" s="1"/>
  <c r="V281" i="1"/>
  <c r="W281" i="1"/>
  <c r="X281" i="1" s="1"/>
  <c r="V282" i="1"/>
  <c r="W282" i="1"/>
  <c r="X282" i="1" s="1"/>
  <c r="V283" i="1"/>
  <c r="W283" i="1"/>
  <c r="X283" i="1" s="1"/>
  <c r="V284" i="1"/>
  <c r="W284" i="1"/>
  <c r="X284" i="1" s="1"/>
  <c r="V285" i="1"/>
  <c r="W285" i="1"/>
  <c r="X285" i="1" s="1"/>
  <c r="V286" i="1"/>
  <c r="W286" i="1"/>
  <c r="X286" i="1" s="1"/>
  <c r="V287" i="1"/>
  <c r="W287" i="1"/>
  <c r="X287" i="1" s="1"/>
  <c r="V288" i="1"/>
  <c r="W288" i="1"/>
  <c r="X288" i="1" s="1"/>
  <c r="V289" i="1"/>
  <c r="W289" i="1"/>
  <c r="X289" i="1" s="1"/>
  <c r="V290" i="1"/>
  <c r="W290" i="1"/>
  <c r="X290" i="1" s="1"/>
  <c r="V291" i="1"/>
  <c r="W291" i="1"/>
  <c r="X291" i="1" s="1"/>
  <c r="V292" i="1"/>
  <c r="W292" i="1"/>
  <c r="X292" i="1" s="1"/>
  <c r="V293" i="1"/>
  <c r="W293" i="1"/>
  <c r="X293" i="1" s="1"/>
  <c r="V294" i="1"/>
  <c r="W294" i="1"/>
  <c r="X294" i="1" s="1"/>
  <c r="V295" i="1"/>
  <c r="W295" i="1"/>
  <c r="X295" i="1" s="1"/>
  <c r="V296" i="1"/>
  <c r="W296" i="1"/>
  <c r="X296" i="1" s="1"/>
  <c r="V297" i="1"/>
  <c r="W297" i="1"/>
  <c r="X297" i="1" s="1"/>
  <c r="V298" i="1"/>
  <c r="W298" i="1"/>
  <c r="X298" i="1" s="1"/>
  <c r="V299" i="1"/>
  <c r="W299" i="1"/>
  <c r="X299" i="1" s="1"/>
  <c r="V300" i="1"/>
  <c r="W300" i="1"/>
  <c r="X300" i="1" s="1"/>
  <c r="V301" i="1"/>
  <c r="W301" i="1"/>
  <c r="X301" i="1" s="1"/>
  <c r="V302" i="1"/>
  <c r="W302" i="1"/>
  <c r="X302" i="1" s="1"/>
  <c r="V303" i="1"/>
  <c r="W303" i="1"/>
  <c r="X303" i="1" s="1"/>
  <c r="V304" i="1"/>
  <c r="W304" i="1"/>
  <c r="X304" i="1" s="1"/>
  <c r="V305" i="1"/>
  <c r="W305" i="1"/>
  <c r="X305" i="1" s="1"/>
  <c r="V306" i="1"/>
  <c r="W306" i="1"/>
  <c r="X306" i="1" s="1"/>
  <c r="V307" i="1"/>
  <c r="W307" i="1"/>
  <c r="X307" i="1" s="1"/>
  <c r="V308" i="1"/>
  <c r="W308" i="1"/>
  <c r="X308" i="1" s="1"/>
  <c r="V309" i="1"/>
  <c r="W309" i="1"/>
  <c r="X309" i="1" s="1"/>
  <c r="V310" i="1"/>
  <c r="W310" i="1"/>
  <c r="X310" i="1" s="1"/>
  <c r="V311" i="1"/>
  <c r="W311" i="1"/>
  <c r="X311" i="1" s="1"/>
  <c r="V312" i="1"/>
  <c r="W312" i="1"/>
  <c r="X312" i="1" s="1"/>
  <c r="V313" i="1"/>
  <c r="W313" i="1"/>
  <c r="X313" i="1" s="1"/>
  <c r="V314" i="1"/>
  <c r="W314" i="1"/>
  <c r="X314" i="1" s="1"/>
  <c r="V315" i="1"/>
  <c r="W315" i="1"/>
  <c r="X315" i="1" s="1"/>
  <c r="V316" i="1"/>
  <c r="W316" i="1"/>
  <c r="X316" i="1" s="1"/>
  <c r="V317" i="1"/>
  <c r="W317" i="1"/>
  <c r="X317" i="1" s="1"/>
  <c r="V318" i="1"/>
  <c r="W318" i="1"/>
  <c r="X318" i="1" s="1"/>
  <c r="V319" i="1"/>
  <c r="W319" i="1"/>
  <c r="X319" i="1" s="1"/>
  <c r="V320" i="1"/>
  <c r="W320" i="1"/>
  <c r="X320" i="1" s="1"/>
  <c r="V321" i="1"/>
  <c r="W321" i="1"/>
  <c r="X321" i="1" s="1"/>
  <c r="V322" i="1"/>
  <c r="W322" i="1"/>
  <c r="X322" i="1" s="1"/>
  <c r="V323" i="1"/>
  <c r="W323" i="1"/>
  <c r="X323" i="1" s="1"/>
  <c r="V324" i="1"/>
  <c r="W324" i="1"/>
  <c r="X324" i="1" s="1"/>
  <c r="V326" i="1"/>
  <c r="W326" i="1"/>
  <c r="X326" i="1" s="1"/>
  <c r="V327" i="1"/>
  <c r="W327" i="1"/>
  <c r="X327" i="1" s="1"/>
  <c r="V328" i="1"/>
  <c r="W328" i="1"/>
  <c r="X328" i="1" s="1"/>
  <c r="V329" i="1"/>
  <c r="W329" i="1"/>
  <c r="X329" i="1" s="1"/>
  <c r="V330" i="1"/>
  <c r="W330" i="1"/>
  <c r="X330" i="1" s="1"/>
  <c r="V331" i="1"/>
  <c r="W331" i="1"/>
  <c r="X331" i="1" s="1"/>
  <c r="V332" i="1"/>
  <c r="W332" i="1"/>
  <c r="X332" i="1" s="1"/>
  <c r="V333" i="1"/>
  <c r="W333" i="1"/>
  <c r="X333" i="1" s="1"/>
  <c r="V334" i="1"/>
  <c r="W334" i="1"/>
  <c r="X334" i="1" s="1"/>
  <c r="V335" i="1"/>
  <c r="W335" i="1"/>
  <c r="X335" i="1" s="1"/>
  <c r="V336" i="1"/>
  <c r="W336" i="1"/>
  <c r="X336" i="1" s="1"/>
  <c r="V337" i="1"/>
  <c r="W337" i="1"/>
  <c r="X337" i="1" s="1"/>
  <c r="V338" i="1"/>
  <c r="W338" i="1"/>
  <c r="X338" i="1" s="1"/>
  <c r="V339" i="1"/>
  <c r="W339" i="1"/>
  <c r="X339" i="1" s="1"/>
  <c r="V340" i="1"/>
  <c r="W340" i="1"/>
  <c r="X340" i="1" s="1"/>
  <c r="V341" i="1"/>
  <c r="W341" i="1"/>
  <c r="X341" i="1" s="1"/>
  <c r="V342" i="1"/>
  <c r="W342" i="1"/>
  <c r="X342" i="1" s="1"/>
  <c r="V343" i="1"/>
  <c r="W343" i="1"/>
  <c r="X343" i="1" s="1"/>
  <c r="V344" i="1"/>
  <c r="W344" i="1"/>
  <c r="X344" i="1" s="1"/>
  <c r="V345" i="1"/>
  <c r="W345" i="1"/>
  <c r="X345" i="1" s="1"/>
  <c r="V346" i="1"/>
  <c r="W346" i="1"/>
  <c r="X346" i="1" s="1"/>
  <c r="V347" i="1"/>
  <c r="W347" i="1"/>
  <c r="X347" i="1" s="1"/>
  <c r="V348" i="1"/>
  <c r="W348" i="1"/>
  <c r="X348" i="1" s="1"/>
  <c r="V349" i="1"/>
  <c r="W349" i="1"/>
  <c r="X349" i="1" s="1"/>
  <c r="V350" i="1"/>
  <c r="W350" i="1"/>
  <c r="X350" i="1" s="1"/>
  <c r="V351" i="1"/>
  <c r="W351" i="1"/>
  <c r="X351" i="1" s="1"/>
  <c r="V352" i="1"/>
  <c r="W352" i="1"/>
  <c r="X352" i="1" s="1"/>
  <c r="V353" i="1"/>
  <c r="W353" i="1"/>
  <c r="X353" i="1" s="1"/>
  <c r="V354" i="1"/>
  <c r="W354" i="1"/>
  <c r="X354" i="1" s="1"/>
  <c r="V355" i="1"/>
  <c r="W355" i="1"/>
  <c r="X355" i="1" s="1"/>
  <c r="V356" i="1"/>
  <c r="W356" i="1"/>
  <c r="X356" i="1" s="1"/>
  <c r="V357" i="1"/>
  <c r="W357" i="1"/>
  <c r="X357" i="1" s="1"/>
  <c r="V358" i="1"/>
  <c r="W358" i="1"/>
  <c r="X358" i="1" s="1"/>
  <c r="V359" i="1"/>
  <c r="W359" i="1"/>
  <c r="X359" i="1" s="1"/>
  <c r="V360" i="1"/>
  <c r="W360" i="1"/>
  <c r="X360" i="1" s="1"/>
  <c r="V361" i="1"/>
  <c r="W361" i="1"/>
  <c r="X361" i="1" s="1"/>
  <c r="V362" i="1"/>
  <c r="W362" i="1"/>
  <c r="X362" i="1" s="1"/>
  <c r="V363" i="1"/>
  <c r="W363" i="1"/>
  <c r="X363" i="1" s="1"/>
  <c r="V364" i="1"/>
  <c r="W364" i="1"/>
  <c r="X364" i="1" s="1"/>
  <c r="V365" i="1"/>
  <c r="W365" i="1"/>
  <c r="X365" i="1" s="1"/>
  <c r="V366" i="1"/>
  <c r="W366" i="1"/>
  <c r="X366" i="1" s="1"/>
  <c r="V367" i="1"/>
  <c r="W367" i="1"/>
  <c r="X367" i="1" s="1"/>
  <c r="V368" i="1"/>
  <c r="W368" i="1"/>
  <c r="X368" i="1" s="1"/>
  <c r="G23" i="1"/>
  <c r="G18" i="1"/>
  <c r="G3" i="1"/>
  <c r="G11" i="1"/>
  <c r="G14" i="1"/>
  <c r="G15" i="1"/>
  <c r="G19" i="1"/>
  <c r="G28" i="1"/>
  <c r="G34" i="1"/>
  <c r="G46" i="1"/>
  <c r="G48" i="1"/>
  <c r="G51" i="1"/>
  <c r="G52" i="1"/>
  <c r="G53" i="1"/>
  <c r="G68" i="1"/>
  <c r="G72" i="1"/>
  <c r="G75" i="1"/>
  <c r="G80" i="1"/>
  <c r="G87" i="1"/>
  <c r="G88" i="1"/>
  <c r="G90" i="1"/>
  <c r="G94" i="1"/>
  <c r="G101" i="1"/>
  <c r="G102" i="1"/>
  <c r="G107" i="1"/>
  <c r="G109" i="1"/>
  <c r="G110" i="1"/>
  <c r="G111" i="1"/>
  <c r="G112" i="1"/>
  <c r="G113" i="1"/>
  <c r="G121" i="1"/>
  <c r="G126" i="1"/>
  <c r="G127" i="1"/>
  <c r="G131" i="1"/>
  <c r="G133" i="1"/>
  <c r="G145" i="1"/>
  <c r="G146" i="1"/>
  <c r="G152" i="1"/>
  <c r="G156" i="1"/>
  <c r="G159" i="1"/>
  <c r="G160" i="1"/>
  <c r="G161" i="1"/>
  <c r="G162" i="1"/>
  <c r="G165" i="1"/>
  <c r="G169" i="1"/>
  <c r="G172" i="1"/>
  <c r="G194" i="1"/>
  <c r="G196" i="1"/>
  <c r="G197" i="1"/>
  <c r="G198" i="1"/>
  <c r="G199" i="1"/>
  <c r="G202" i="1"/>
  <c r="G207" i="1"/>
  <c r="G210" i="1"/>
  <c r="G211" i="1"/>
  <c r="G215" i="1"/>
  <c r="G218" i="1"/>
  <c r="G221" i="1"/>
  <c r="G226" i="1"/>
  <c r="J255" i="1"/>
  <c r="K255" i="1"/>
  <c r="O255" i="1" s="1"/>
  <c r="L255" i="1"/>
  <c r="P255" i="1" s="1"/>
  <c r="J291" i="1"/>
  <c r="K291" i="1"/>
  <c r="O291" i="1" s="1"/>
  <c r="L291" i="1"/>
  <c r="P291" i="1" s="1"/>
  <c r="J229" i="1"/>
  <c r="K229" i="1"/>
  <c r="O229" i="1" s="1"/>
  <c r="L229" i="1"/>
  <c r="P229" i="1" s="1"/>
  <c r="J234" i="1"/>
  <c r="K234" i="1"/>
  <c r="O234" i="1" s="1"/>
  <c r="L234" i="1"/>
  <c r="P234" i="1" s="1"/>
  <c r="G255" i="1"/>
  <c r="G16" i="1"/>
  <c r="G333" i="1"/>
  <c r="G291" i="1"/>
  <c r="G177" i="1"/>
  <c r="G229" i="1"/>
  <c r="G21" i="1"/>
  <c r="G50" i="1"/>
  <c r="G234" i="1"/>
  <c r="G224" i="1"/>
  <c r="K8" i="1"/>
  <c r="O8" i="1" s="1"/>
  <c r="K256" i="1"/>
  <c r="O256" i="1" s="1"/>
  <c r="K301" i="1"/>
  <c r="O301" i="1" s="1"/>
  <c r="K250" i="1"/>
  <c r="O250" i="1" s="1"/>
  <c r="K411" i="1"/>
  <c r="O411" i="1" s="1"/>
  <c r="K339" i="1"/>
  <c r="O339" i="1" s="1"/>
  <c r="K366" i="1"/>
  <c r="O366" i="1" s="1"/>
  <c r="K326" i="1"/>
  <c r="O326" i="1" s="1"/>
  <c r="K9" i="1"/>
  <c r="O9" i="1" s="1"/>
  <c r="K13" i="1"/>
  <c r="O13" i="1" s="1"/>
  <c r="K7" i="1"/>
  <c r="O7" i="1" s="1"/>
  <c r="K4" i="1"/>
  <c r="K405" i="1"/>
  <c r="O405" i="1" s="1"/>
  <c r="K29" i="1"/>
  <c r="O29" i="1" s="1"/>
  <c r="K408" i="1"/>
  <c r="O408" i="1" s="1"/>
  <c r="K437" i="1"/>
  <c r="O437" i="1" s="1"/>
  <c r="K32" i="1"/>
  <c r="O32" i="1" s="1"/>
  <c r="K373" i="1"/>
  <c r="O373" i="1" s="1"/>
  <c r="K95" i="1"/>
  <c r="O95" i="1" s="1"/>
  <c r="K430" i="1"/>
  <c r="O430" i="1" s="1"/>
  <c r="K117" i="1"/>
  <c r="O117" i="1" s="1"/>
  <c r="K344" i="1"/>
  <c r="O344" i="1" s="1"/>
  <c r="K286" i="1"/>
  <c r="O286" i="1" s="1"/>
  <c r="K375" i="1"/>
  <c r="O375" i="1" s="1"/>
  <c r="K245" i="1"/>
  <c r="O245" i="1" s="1"/>
  <c r="K338" i="1"/>
  <c r="O338" i="1" s="1"/>
  <c r="K364" i="1"/>
  <c r="O364" i="1" s="1"/>
  <c r="K396" i="1"/>
  <c r="O396" i="1" s="1"/>
  <c r="K278" i="1"/>
  <c r="O278" i="1" s="1"/>
  <c r="K249" i="1"/>
  <c r="O249" i="1" s="1"/>
  <c r="K387" i="1"/>
  <c r="O387" i="1" s="1"/>
  <c r="K253" i="1"/>
  <c r="O253" i="1" s="1"/>
  <c r="K349" i="1"/>
  <c r="O349" i="1" s="1"/>
  <c r="K378" i="1"/>
  <c r="O378" i="1" s="1"/>
  <c r="K275" i="1"/>
  <c r="O275" i="1" s="1"/>
  <c r="K357" i="1"/>
  <c r="O357" i="1" s="1"/>
  <c r="K254" i="1"/>
  <c r="O254" i="1" s="1"/>
  <c r="K239" i="1"/>
  <c r="O239" i="1" s="1"/>
  <c r="K269" i="1"/>
  <c r="O269" i="1" s="1"/>
  <c r="K350" i="1"/>
  <c r="O350" i="1" s="1"/>
  <c r="K258" i="1"/>
  <c r="O258" i="1" s="1"/>
  <c r="K201" i="1"/>
  <c r="O201" i="1" s="1"/>
  <c r="K397" i="1"/>
  <c r="O397" i="1" s="1"/>
  <c r="K303" i="1"/>
  <c r="O303" i="1" s="1"/>
  <c r="K235" i="1"/>
  <c r="O235" i="1" s="1"/>
  <c r="K233" i="1"/>
  <c r="O233" i="1" s="1"/>
  <c r="K283" i="1"/>
  <c r="O283" i="1" s="1"/>
  <c r="K264" i="1"/>
  <c r="O264" i="1" s="1"/>
  <c r="K325" i="1"/>
  <c r="O325" i="1" s="1"/>
  <c r="K285" i="1"/>
  <c r="O285" i="1" s="1"/>
  <c r="K381" i="1"/>
  <c r="O381" i="1" s="1"/>
  <c r="K401" i="1"/>
  <c r="O401" i="1" s="1"/>
  <c r="K369" i="1"/>
  <c r="O369" i="1" s="1"/>
  <c r="K265" i="1"/>
  <c r="O265" i="1" s="1"/>
  <c r="K295" i="1"/>
  <c r="O295" i="1" s="1"/>
  <c r="K240" i="1"/>
  <c r="O240" i="1" s="1"/>
  <c r="K346" i="1"/>
  <c r="O346" i="1" s="1"/>
  <c r="K228" i="1"/>
  <c r="O228" i="1" s="1"/>
  <c r="K436" i="1"/>
  <c r="O436" i="1" s="1"/>
  <c r="L294" i="1"/>
  <c r="P294" i="1" s="1"/>
  <c r="G379" i="1"/>
  <c r="G294" i="1"/>
  <c r="G217" i="1"/>
  <c r="G143" i="1"/>
  <c r="G206" i="1"/>
  <c r="G282" i="1"/>
  <c r="G311" i="1"/>
  <c r="G154" i="1"/>
  <c r="G393" i="1"/>
  <c r="G278" i="1"/>
  <c r="G428" i="1"/>
  <c r="G56" i="1"/>
  <c r="G331" i="1"/>
  <c r="G71" i="1"/>
  <c r="G362" i="1"/>
  <c r="G164" i="1"/>
  <c r="G244" i="1"/>
  <c r="G430" i="1"/>
  <c r="G305" i="1"/>
  <c r="G247" i="1"/>
  <c r="G337" i="1"/>
  <c r="G186" i="1"/>
  <c r="G319" i="1"/>
  <c r="G335" i="1"/>
  <c r="G150" i="1"/>
  <c r="G248" i="1"/>
  <c r="G378" i="1"/>
  <c r="G338" i="1"/>
  <c r="G263" i="1"/>
  <c r="G106" i="1"/>
  <c r="G306" i="1"/>
  <c r="G327" i="1"/>
  <c r="G91" i="1"/>
  <c r="G266" i="1"/>
  <c r="G223" i="1"/>
  <c r="G287" i="1"/>
  <c r="G400" i="1"/>
  <c r="G343" i="1"/>
  <c r="G130" i="1"/>
  <c r="G95" i="1"/>
  <c r="G83" i="1"/>
  <c r="G108" i="1"/>
  <c r="G407" i="1"/>
  <c r="G418" i="1"/>
  <c r="G190" i="1"/>
  <c r="G288" i="1"/>
  <c r="G435" i="1"/>
  <c r="G58" i="1"/>
  <c r="G176" i="1"/>
  <c r="G411" i="1"/>
  <c r="G346" i="1"/>
  <c r="G57" i="1"/>
  <c r="G295" i="1"/>
  <c r="G214" i="1"/>
  <c r="G189" i="1"/>
  <c r="G191" i="1"/>
  <c r="G129" i="1"/>
  <c r="G415" i="1"/>
  <c r="G303" i="1"/>
  <c r="G201" i="1"/>
  <c r="G330" i="1"/>
  <c r="G347" i="1"/>
  <c r="G355" i="1"/>
  <c r="G86" i="1"/>
  <c r="G376" i="1"/>
  <c r="G416" i="1"/>
  <c r="G124" i="1"/>
  <c r="G26" i="1"/>
  <c r="G63" i="1"/>
  <c r="G433" i="1"/>
  <c r="G134" i="1"/>
  <c r="G61" i="1"/>
  <c r="G136" i="1"/>
  <c r="G367" i="1"/>
  <c r="G431" i="1"/>
  <c r="G419" i="1"/>
  <c r="G302" i="1"/>
  <c r="G33" i="1"/>
  <c r="G4" i="1"/>
  <c r="G232" i="1"/>
  <c r="G417" i="1"/>
  <c r="G193" i="1"/>
  <c r="G359" i="1"/>
  <c r="G59" i="1"/>
  <c r="G147" i="1"/>
  <c r="G6" i="1"/>
  <c r="G140" i="1"/>
  <c r="G281" i="1"/>
  <c r="G157" i="1"/>
  <c r="G12" i="1"/>
  <c r="G349" i="1"/>
  <c r="G371" i="1"/>
  <c r="G92" i="1"/>
  <c r="G270" i="1"/>
  <c r="G237" i="1"/>
  <c r="G69" i="1"/>
  <c r="G148" i="1"/>
  <c r="G344" i="1"/>
  <c r="D8" i="3"/>
  <c r="D7" i="3"/>
  <c r="B12" i="3" a="1"/>
  <c r="G85" i="1"/>
  <c r="G301" i="1"/>
  <c r="G332" i="1"/>
  <c r="G350" i="1"/>
  <c r="G275" i="1"/>
  <c r="G200" i="1"/>
  <c r="G394" i="1"/>
  <c r="G170" i="1"/>
  <c r="G70" i="1"/>
  <c r="G341" i="1"/>
  <c r="G246" i="1"/>
  <c r="G382" i="1"/>
  <c r="G235" i="1"/>
  <c r="G318" i="1"/>
  <c r="G205" i="1"/>
  <c r="G297" i="1"/>
  <c r="G404" i="1"/>
  <c r="G252" i="1"/>
  <c r="G242" i="1"/>
  <c r="G97" i="1"/>
  <c r="G125" i="1"/>
  <c r="G31" i="1"/>
  <c r="G60" i="1"/>
  <c r="G326" i="1"/>
  <c r="G135" i="1"/>
  <c r="G272" i="1"/>
  <c r="G334" i="1"/>
  <c r="G345" i="1"/>
  <c r="G392" i="1"/>
  <c r="G116" i="1"/>
  <c r="G132" i="1"/>
  <c r="G79" i="1"/>
  <c r="G40" i="1"/>
  <c r="G167" i="1"/>
  <c r="G409" i="1"/>
  <c r="G9" i="1"/>
  <c r="G413" i="1"/>
  <c r="G312" i="1"/>
  <c r="G67" i="1"/>
  <c r="G204" i="1"/>
  <c r="G155" i="1"/>
  <c r="G243" i="1"/>
  <c r="G296" i="1"/>
  <c r="G292" i="1"/>
  <c r="G314" i="1"/>
  <c r="G45" i="1"/>
  <c r="G178" i="1"/>
  <c r="G434" i="1"/>
  <c r="G98" i="1"/>
  <c r="G225" i="1"/>
  <c r="G317" i="1"/>
  <c r="G366" i="1"/>
  <c r="G62" i="1"/>
  <c r="G354" i="1"/>
  <c r="G388" i="1"/>
  <c r="G103" i="1"/>
  <c r="G74" i="1"/>
  <c r="G168" i="1"/>
  <c r="G238" i="1"/>
  <c r="G153" i="1"/>
  <c r="G381" i="1"/>
  <c r="G44" i="1"/>
  <c r="G298" i="1"/>
  <c r="G20" i="1"/>
  <c r="G372" i="1"/>
  <c r="G251" i="1"/>
  <c r="G203" i="1"/>
  <c r="G352" i="1"/>
  <c r="G399" i="1"/>
  <c r="G423" i="1"/>
  <c r="G119" i="1"/>
  <c r="G436" i="1"/>
  <c r="G391" i="1"/>
  <c r="G361" i="1"/>
  <c r="G426" i="1"/>
  <c r="G227" i="1"/>
  <c r="G324" i="1"/>
  <c r="G151" i="1"/>
  <c r="G105" i="1"/>
  <c r="G304" i="1"/>
  <c r="G370" i="1"/>
  <c r="G89" i="1"/>
  <c r="G373" i="1"/>
  <c r="G340" i="1"/>
  <c r="G250" i="1"/>
  <c r="G308" i="1"/>
  <c r="G406" i="1"/>
  <c r="G115" i="1"/>
  <c r="G365" i="1"/>
  <c r="G36" i="1"/>
  <c r="G179" i="1"/>
  <c r="G230" i="1"/>
  <c r="G316" i="1"/>
  <c r="G357" i="1"/>
  <c r="G41" i="1"/>
  <c r="G84" i="1"/>
  <c r="G38" i="1"/>
  <c r="G181" i="1"/>
  <c r="G262" i="1"/>
  <c r="G289" i="1"/>
  <c r="G325" i="1"/>
  <c r="G351" i="1"/>
  <c r="G8" i="1"/>
  <c r="G171" i="1"/>
  <c r="G212" i="1"/>
  <c r="G421" i="1"/>
  <c r="G258" i="1"/>
  <c r="G364" i="1"/>
  <c r="G233" i="1"/>
  <c r="G360" i="1"/>
  <c r="G120" i="1"/>
  <c r="G122" i="1"/>
  <c r="G405" i="1"/>
  <c r="G410" i="1"/>
  <c r="G342" i="1"/>
  <c r="G100" i="1"/>
  <c r="G82" i="1"/>
  <c r="G43" i="1"/>
  <c r="G396" i="1"/>
  <c r="G192" i="1"/>
  <c r="G114" i="1"/>
  <c r="G213" i="1"/>
  <c r="G13" i="1"/>
  <c r="G261" i="1"/>
  <c r="G307" i="1"/>
  <c r="G128" i="1"/>
  <c r="G239" i="1"/>
  <c r="G245" i="1"/>
  <c r="G271" i="1"/>
  <c r="G323" i="1"/>
  <c r="G398" i="1"/>
  <c r="G390" i="1"/>
  <c r="G216" i="1"/>
  <c r="G55" i="1"/>
  <c r="G265" i="1"/>
  <c r="G389" i="1"/>
  <c r="G283" i="1"/>
  <c r="G424" i="1"/>
  <c r="G27" i="1"/>
  <c r="G180" i="1"/>
  <c r="G299" i="1"/>
  <c r="G320" i="1"/>
  <c r="G420" i="1"/>
  <c r="G184" i="1"/>
  <c r="G403" i="1"/>
  <c r="G77" i="1"/>
  <c r="G310" i="1"/>
  <c r="G118" i="1"/>
  <c r="G123" i="1"/>
  <c r="G276" i="1"/>
  <c r="G284" i="1"/>
  <c r="G377" i="1"/>
  <c r="G395" i="1"/>
  <c r="G414" i="1"/>
  <c r="G73" i="1"/>
  <c r="G380" i="1"/>
  <c r="G286" i="1"/>
  <c r="G356" i="1"/>
  <c r="G274" i="1"/>
  <c r="G47" i="1"/>
  <c r="G220" i="1"/>
  <c r="G99" i="1"/>
  <c r="G264" i="1"/>
  <c r="G328" i="1"/>
  <c r="G25" i="1"/>
  <c r="G293" i="1"/>
  <c r="G5" i="1"/>
  <c r="G427" i="1"/>
  <c r="G188" i="1"/>
  <c r="G32" i="1"/>
  <c r="G300" i="1"/>
  <c r="G29" i="1"/>
  <c r="G96" i="1"/>
  <c r="G285" i="1"/>
  <c r="G375" i="1"/>
  <c r="G273" i="1"/>
  <c r="G348" i="1"/>
  <c r="G374" i="1"/>
  <c r="G422" i="1"/>
  <c r="G236" i="1"/>
  <c r="G66" i="1"/>
  <c r="G209" i="1"/>
  <c r="G259" i="1"/>
  <c r="G42" i="1"/>
  <c r="G241" i="1"/>
  <c r="G269" i="1"/>
  <c r="G93" i="1"/>
  <c r="G22" i="1"/>
  <c r="G383" i="1"/>
  <c r="G329" i="1"/>
  <c r="G412" i="1"/>
  <c r="G10" i="1"/>
  <c r="G358" i="1"/>
  <c r="G149" i="1"/>
  <c r="G76" i="1"/>
  <c r="G353" i="1"/>
  <c r="G279" i="1"/>
  <c r="G429" i="1"/>
  <c r="G24" i="1"/>
  <c r="G219" i="1"/>
  <c r="G432" i="1"/>
  <c r="G425" i="1"/>
  <c r="G322" i="1"/>
  <c r="G336" i="1"/>
  <c r="G257" i="1"/>
  <c r="G163" i="1"/>
  <c r="G65" i="1"/>
  <c r="G277" i="1"/>
  <c r="G309" i="1"/>
  <c r="G369" i="1"/>
  <c r="G268" i="1"/>
  <c r="G256" i="1"/>
  <c r="G363" i="1"/>
  <c r="G185" i="1"/>
  <c r="G231" i="1"/>
  <c r="G144" i="1"/>
  <c r="G228" i="1"/>
  <c r="G141" i="1"/>
  <c r="G35" i="1"/>
  <c r="G17" i="1"/>
  <c r="G386" i="1"/>
  <c r="G253" i="1"/>
  <c r="G138" i="1"/>
  <c r="G384" i="1"/>
  <c r="G139" i="1"/>
  <c r="G173" i="1"/>
  <c r="G166" i="1"/>
  <c r="G368" i="1"/>
  <c r="G7" i="1"/>
  <c r="G387" i="1"/>
  <c r="G117" i="1"/>
  <c r="G240" i="1"/>
  <c r="G39" i="1"/>
  <c r="G254" i="1"/>
  <c r="G64" i="1"/>
  <c r="G249" i="1"/>
  <c r="G195" i="1"/>
  <c r="G385" i="1"/>
  <c r="G321" i="1"/>
  <c r="G260" i="1"/>
  <c r="G37" i="1"/>
  <c r="G313" i="1"/>
  <c r="G54" i="1"/>
  <c r="G290" i="1"/>
  <c r="G397" i="1"/>
  <c r="G401" i="1"/>
  <c r="G183" i="1"/>
  <c r="G175" i="1"/>
  <c r="G267" i="1"/>
  <c r="G315" i="1"/>
  <c r="G402" i="1"/>
  <c r="G408" i="1"/>
  <c r="G339" i="1"/>
  <c r="G187" i="1"/>
  <c r="G78" i="1"/>
  <c r="G280" i="1"/>
  <c r="G49" i="1"/>
  <c r="G437" i="1"/>
  <c r="B63" i="3" a="1"/>
  <c r="O4" i="1" l="1"/>
  <c r="F96" i="3"/>
  <c r="D96" i="3"/>
  <c r="C96" i="3"/>
  <c r="F89" i="3"/>
  <c r="D89" i="3"/>
  <c r="C89" i="3"/>
  <c r="F88" i="3"/>
  <c r="D88" i="3"/>
  <c r="C88" i="3"/>
  <c r="F87" i="3"/>
  <c r="D87" i="3"/>
  <c r="C87" i="3"/>
  <c r="F86" i="3"/>
  <c r="D86" i="3"/>
  <c r="C86" i="3"/>
  <c r="F85" i="3"/>
  <c r="D85" i="3"/>
  <c r="C85" i="3"/>
  <c r="F84" i="3"/>
  <c r="D84" i="3"/>
  <c r="C84" i="3"/>
  <c r="F83" i="3"/>
  <c r="D83" i="3"/>
  <c r="C83" i="3"/>
  <c r="E56" i="3"/>
  <c r="C56" i="3"/>
  <c r="E55" i="3"/>
  <c r="C55" i="3"/>
  <c r="E57" i="3"/>
  <c r="C57" i="3"/>
  <c r="E58" i="3"/>
  <c r="C58" i="3"/>
  <c r="E54" i="3"/>
  <c r="C54" i="3"/>
  <c r="E59" i="3"/>
  <c r="C59" i="3"/>
  <c r="X344" i="2"/>
  <c r="AB344" i="2" s="1"/>
  <c r="X300" i="2"/>
  <c r="AB300" i="2" s="1"/>
  <c r="X352" i="2"/>
  <c r="AB352" i="2" s="1"/>
  <c r="X45" i="2"/>
  <c r="AB45" i="2" s="1"/>
  <c r="X229" i="2"/>
  <c r="AB229" i="2" s="1"/>
  <c r="X377" i="2"/>
  <c r="AB377" i="2" s="1"/>
  <c r="X83" i="2"/>
  <c r="AB83" i="2" s="1"/>
  <c r="X82" i="2"/>
  <c r="AB82" i="2" s="1"/>
  <c r="X326" i="2"/>
  <c r="AB326" i="2" s="1"/>
  <c r="X207" i="2"/>
  <c r="AB207" i="2" s="1"/>
  <c r="X348" i="2"/>
  <c r="AB348" i="2" s="1"/>
  <c r="X143" i="2"/>
  <c r="AB143" i="2" s="1"/>
  <c r="X343" i="2"/>
  <c r="AB343" i="2" s="1"/>
  <c r="X101" i="2"/>
  <c r="AB101" i="2" s="1"/>
  <c r="X360" i="2"/>
  <c r="AB360" i="2" s="1"/>
  <c r="X162" i="2"/>
  <c r="AB162" i="2" s="1"/>
  <c r="X375" i="2"/>
  <c r="AB375" i="2" s="1"/>
  <c r="X149" i="2"/>
  <c r="AB149" i="2" s="1"/>
  <c r="X138" i="2"/>
  <c r="AB138" i="2" s="1"/>
  <c r="X187" i="2"/>
  <c r="AB187" i="2" s="1"/>
  <c r="X177" i="2"/>
  <c r="AB177" i="2" s="1"/>
  <c r="X182" i="2"/>
  <c r="AB182" i="2" s="1"/>
  <c r="X116" i="2"/>
  <c r="AB116" i="2" s="1"/>
  <c r="X351" i="2"/>
  <c r="AB351" i="2" s="1"/>
  <c r="X208" i="2"/>
  <c r="AB208" i="2" s="1"/>
  <c r="X384" i="2"/>
  <c r="AB384" i="2" s="1"/>
  <c r="X349" i="2"/>
  <c r="AB349" i="2" s="1"/>
  <c r="X379" i="2"/>
  <c r="AB379" i="2" s="1"/>
  <c r="X386" i="2"/>
  <c r="AB386" i="2" s="1"/>
  <c r="X198" i="2"/>
  <c r="AB198" i="2" s="1"/>
  <c r="X134" i="2"/>
  <c r="AB134" i="2" s="1"/>
  <c r="X336" i="2"/>
  <c r="AB336" i="2" s="1"/>
  <c r="X365" i="2"/>
  <c r="AB365" i="2" s="1"/>
  <c r="X373" i="2"/>
  <c r="AB373" i="2" s="1"/>
  <c r="X139" i="2"/>
  <c r="AB139" i="2" s="1"/>
  <c r="X228" i="2"/>
  <c r="AB228" i="2" s="1"/>
  <c r="X359" i="2"/>
  <c r="AB359" i="2" s="1"/>
  <c r="X340" i="2"/>
  <c r="AB340" i="2" s="1"/>
  <c r="X252" i="2"/>
  <c r="AB252" i="2" s="1"/>
  <c r="X330" i="2"/>
  <c r="AB330" i="2" s="1"/>
  <c r="X196" i="2"/>
  <c r="AB196" i="2" s="1"/>
  <c r="X141" i="2"/>
  <c r="AB141" i="2" s="1"/>
  <c r="X248" i="2"/>
  <c r="AB248" i="2" s="1"/>
  <c r="X214" i="2"/>
  <c r="AB214" i="2" s="1"/>
  <c r="X390" i="2"/>
  <c r="AB390" i="2" s="1"/>
  <c r="X380" i="2"/>
  <c r="AB380" i="2" s="1"/>
  <c r="X147" i="2"/>
  <c r="AB147" i="2" s="1"/>
  <c r="X393" i="2"/>
  <c r="AB393" i="2" s="1"/>
  <c r="X374" i="2"/>
  <c r="AB374" i="2" s="1"/>
  <c r="X363" i="2"/>
  <c r="AB363" i="2" s="1"/>
  <c r="X372" i="2"/>
  <c r="AB372" i="2" s="1"/>
  <c r="X329" i="2"/>
  <c r="AB329" i="2" s="1"/>
  <c r="X366" i="2"/>
  <c r="AB366" i="2" s="1"/>
  <c r="X195" i="2"/>
  <c r="AB195" i="2" s="1"/>
  <c r="X389" i="2"/>
  <c r="AB389" i="2" s="1"/>
  <c r="X387" i="2"/>
  <c r="AB387" i="2" s="1"/>
  <c r="X383" i="2"/>
  <c r="AB383" i="2" s="1"/>
  <c r="X369" i="2"/>
  <c r="AB369" i="2" s="1"/>
  <c r="X368" i="2"/>
  <c r="AB368" i="2" s="1"/>
  <c r="X323" i="2"/>
  <c r="AB323" i="2" s="1"/>
  <c r="X253" i="2"/>
  <c r="AB253" i="2" s="1"/>
  <c r="X273" i="2"/>
  <c r="AB273" i="2" s="1"/>
  <c r="X364" i="2"/>
  <c r="AB364" i="2" s="1"/>
  <c r="X243" i="2"/>
  <c r="AB243" i="2" s="1"/>
  <c r="X219" i="2"/>
  <c r="AB219" i="2" s="1"/>
  <c r="X337" i="2"/>
  <c r="AB337" i="2" s="1"/>
  <c r="X345" i="2"/>
  <c r="AB345" i="2" s="1"/>
  <c r="X355" i="2"/>
  <c r="AB355" i="2" s="1"/>
  <c r="X354" i="2"/>
  <c r="AB354" i="2" s="1"/>
  <c r="X179" i="2"/>
  <c r="AB179" i="2" s="1"/>
  <c r="X391" i="2"/>
  <c r="AB391" i="2" s="1"/>
  <c r="X358" i="2"/>
  <c r="AB358" i="2" s="1"/>
  <c r="X339" i="2"/>
  <c r="AB339" i="2" s="1"/>
  <c r="X256" i="2"/>
  <c r="AB256" i="2" s="1"/>
  <c r="X87" i="2"/>
  <c r="AB87" i="2" s="1"/>
  <c r="X140" i="2"/>
  <c r="AB140" i="2" s="1"/>
  <c r="X353" i="2"/>
  <c r="AB353" i="2" s="1"/>
  <c r="X309" i="2"/>
  <c r="AB309" i="2" s="1"/>
  <c r="X392" i="2"/>
  <c r="AB392" i="2" s="1"/>
  <c r="X292" i="2"/>
  <c r="AB292" i="2" s="1"/>
  <c r="X264" i="2"/>
  <c r="AB264" i="2" s="1"/>
  <c r="X322" i="2"/>
  <c r="AB322" i="2" s="1"/>
  <c r="X342" i="2"/>
  <c r="AB342" i="2" s="1"/>
  <c r="X302" i="2"/>
  <c r="AB302" i="2" s="1"/>
  <c r="X382" i="2"/>
  <c r="AB382" i="2" s="1"/>
  <c r="X376" i="2"/>
  <c r="AB376" i="2" s="1"/>
  <c r="X338" i="2"/>
  <c r="AB338" i="2" s="1"/>
  <c r="X331" i="2"/>
  <c r="AB331" i="2" s="1"/>
  <c r="X178" i="2"/>
  <c r="AB178" i="2" s="1"/>
  <c r="X356" i="2"/>
  <c r="AB356" i="2" s="1"/>
  <c r="X381" i="2"/>
  <c r="AB381" i="2" s="1"/>
  <c r="X250" i="2"/>
  <c r="AB250" i="2" s="1"/>
  <c r="X233" i="2"/>
  <c r="AB233" i="2" s="1"/>
  <c r="X325" i="2"/>
  <c r="AB325" i="2" s="1"/>
  <c r="X226" i="2"/>
  <c r="AB226" i="2" s="1"/>
  <c r="X371" i="2"/>
  <c r="AB371" i="2" s="1"/>
  <c r="X293" i="2"/>
  <c r="AB293" i="2" s="1"/>
  <c r="X367" i="2"/>
  <c r="AB367" i="2" s="1"/>
  <c r="X378" i="2"/>
  <c r="AB378" i="2" s="1"/>
  <c r="X388" i="2"/>
  <c r="AB388" i="2" s="1"/>
  <c r="X361" i="2"/>
  <c r="AB361" i="2" s="1"/>
  <c r="X295" i="2"/>
  <c r="AB295" i="2" s="1"/>
  <c r="X385" i="2"/>
  <c r="AB385" i="2" s="1"/>
  <c r="X327" i="2"/>
  <c r="AB327" i="2" s="1"/>
  <c r="X267" i="2"/>
  <c r="AB267" i="2" s="1"/>
  <c r="X362" i="2"/>
  <c r="AB362" i="2" s="1"/>
  <c r="X370" i="2"/>
  <c r="AB370" i="2" s="1"/>
  <c r="X260" i="2"/>
  <c r="AB260" i="2" s="1"/>
  <c r="X306" i="2"/>
  <c r="AB306" i="2" s="1"/>
  <c r="X341" i="2"/>
  <c r="AB341" i="2" s="1"/>
  <c r="X350" i="2"/>
  <c r="AB350" i="2" s="1"/>
  <c r="X347" i="2"/>
  <c r="AB347" i="2" s="1"/>
  <c r="X319" i="2"/>
  <c r="AB319" i="2" s="1"/>
  <c r="X346" i="2"/>
  <c r="AB346" i="2" s="1"/>
  <c r="K38" i="1"/>
  <c r="O38" i="1" s="1"/>
  <c r="K79" i="1"/>
  <c r="O79" i="1" s="1"/>
  <c r="K24" i="1"/>
  <c r="O24" i="1" s="1"/>
  <c r="K379" i="1"/>
  <c r="O379" i="1" s="1"/>
  <c r="K382" i="1"/>
  <c r="O382" i="1" s="1"/>
  <c r="K336" i="1"/>
  <c r="O336" i="1" s="1"/>
  <c r="K147" i="1"/>
  <c r="O147" i="1" s="1"/>
  <c r="K335" i="1"/>
  <c r="O335" i="1" s="1"/>
  <c r="K125" i="1"/>
  <c r="O125" i="1" s="1"/>
  <c r="K96" i="1"/>
  <c r="O96" i="1" s="1"/>
  <c r="K150" i="1"/>
  <c r="O150" i="1" s="1"/>
  <c r="K128" i="1"/>
  <c r="O128" i="1" s="1"/>
  <c r="K232" i="1"/>
  <c r="O232" i="1" s="1"/>
  <c r="K92" i="1"/>
  <c r="O92" i="1" s="1"/>
  <c r="K231" i="1"/>
  <c r="O231" i="1" s="1"/>
  <c r="K119" i="1"/>
  <c r="O119" i="1" s="1"/>
  <c r="K220" i="1"/>
  <c r="O220" i="1" s="1"/>
  <c r="K155" i="1"/>
  <c r="O155" i="1" s="1"/>
  <c r="K62" i="1"/>
  <c r="O62" i="1" s="1"/>
  <c r="K175" i="1"/>
  <c r="O175" i="1" s="1"/>
  <c r="K85" i="1"/>
  <c r="O85" i="1" s="1"/>
  <c r="K311" i="1"/>
  <c r="O311" i="1" s="1"/>
  <c r="K144" i="1"/>
  <c r="O144" i="1" s="1"/>
  <c r="K429" i="1"/>
  <c r="O429" i="1" s="1"/>
  <c r="K282" i="1"/>
  <c r="O282" i="1" s="1"/>
  <c r="L6" i="1"/>
  <c r="P6" i="1" s="1"/>
  <c r="L37" i="1"/>
  <c r="P37" i="1" s="1"/>
  <c r="L414" i="1"/>
  <c r="P414" i="1" s="1"/>
  <c r="L393" i="1"/>
  <c r="P393" i="1" s="1"/>
  <c r="L399" i="1"/>
  <c r="P399" i="1" s="1"/>
  <c r="L412" i="1"/>
  <c r="P412" i="1" s="1"/>
  <c r="L352" i="1"/>
  <c r="P352" i="1" s="1"/>
  <c r="L395" i="1"/>
  <c r="P395" i="1" s="1"/>
  <c r="L391" i="1"/>
  <c r="P391" i="1" s="1"/>
  <c r="L70" i="1"/>
  <c r="P70" i="1" s="1"/>
  <c r="L383" i="1"/>
  <c r="P383" i="1" s="1"/>
  <c r="L341" i="1"/>
  <c r="P341" i="1" s="1"/>
  <c r="L78" i="1"/>
  <c r="P78" i="1" s="1"/>
  <c r="L45" i="1"/>
  <c r="P45" i="1" s="1"/>
  <c r="L171" i="1"/>
  <c r="P171" i="1" s="1"/>
  <c r="L281" i="1"/>
  <c r="P281" i="1" s="1"/>
  <c r="L389" i="1"/>
  <c r="P389" i="1" s="1"/>
  <c r="L274" i="1"/>
  <c r="P274" i="1" s="1"/>
  <c r="L259" i="1"/>
  <c r="P259" i="1" s="1"/>
  <c r="L241" i="1"/>
  <c r="P241" i="1" s="1"/>
  <c r="L266" i="1"/>
  <c r="P266" i="1" s="1"/>
  <c r="L298" i="1"/>
  <c r="P298" i="1" s="1"/>
  <c r="L219" i="1"/>
  <c r="P219" i="1" s="1"/>
  <c r="L251" i="1"/>
  <c r="P251" i="1" s="1"/>
  <c r="L57" i="1"/>
  <c r="P57" i="1" s="1"/>
  <c r="L36" i="1"/>
  <c r="P36" i="1" s="1"/>
  <c r="L136" i="1"/>
  <c r="P136" i="1" s="1"/>
  <c r="L368" i="1"/>
  <c r="P368" i="1" s="1"/>
  <c r="L190" i="1"/>
  <c r="P190" i="1" s="1"/>
  <c r="L386" i="1"/>
  <c r="P386" i="1" s="1"/>
  <c r="L68" i="1"/>
  <c r="P68" i="1" s="1"/>
  <c r="L101" i="1"/>
  <c r="P101" i="1" s="1"/>
  <c r="L127" i="1"/>
  <c r="P127" i="1" s="1"/>
  <c r="L165" i="1"/>
  <c r="P165" i="1" s="1"/>
  <c r="L210" i="1"/>
  <c r="P210" i="1" s="1"/>
  <c r="K5" i="1"/>
  <c r="K428" i="1"/>
  <c r="O428" i="1" s="1"/>
  <c r="K420" i="1"/>
  <c r="O420" i="1" s="1"/>
  <c r="K390" i="1"/>
  <c r="O390" i="1" s="1"/>
  <c r="K122" i="1"/>
  <c r="O122" i="1" s="1"/>
  <c r="K195" i="1"/>
  <c r="O195" i="1" s="1"/>
  <c r="K186" i="1"/>
  <c r="O186" i="1" s="1"/>
  <c r="K84" i="1"/>
  <c r="O84" i="1" s="1"/>
  <c r="K66" i="1"/>
  <c r="O66" i="1" s="1"/>
  <c r="K310" i="1"/>
  <c r="O310" i="1" s="1"/>
  <c r="K315" i="1"/>
  <c r="O315" i="1" s="1"/>
  <c r="K331" i="1"/>
  <c r="O331" i="1" s="1"/>
  <c r="K99" i="1"/>
  <c r="O99" i="1" s="1"/>
  <c r="K328" i="1"/>
  <c r="O328" i="1" s="1"/>
  <c r="K288" i="1"/>
  <c r="O288" i="1" s="1"/>
  <c r="K316" i="1"/>
  <c r="O316" i="1" s="1"/>
  <c r="K129" i="1"/>
  <c r="O129" i="1" s="1"/>
  <c r="K263" i="1"/>
  <c r="O263" i="1" s="1"/>
  <c r="K385" i="1"/>
  <c r="O385" i="1" s="1"/>
  <c r="K59" i="1"/>
  <c r="O59" i="1" s="1"/>
  <c r="K115" i="1"/>
  <c r="O115" i="1" s="1"/>
  <c r="K130" i="1"/>
  <c r="O130" i="1" s="1"/>
  <c r="K100" i="1"/>
  <c r="O100" i="1" s="1"/>
  <c r="L426" i="1"/>
  <c r="P426" i="1" s="1"/>
  <c r="L380" i="1"/>
  <c r="P380" i="1" s="1"/>
  <c r="L35" i="1"/>
  <c r="P35" i="1" s="1"/>
  <c r="L318" i="1"/>
  <c r="P318" i="1" s="1"/>
  <c r="L309" i="1"/>
  <c r="P309" i="1" s="1"/>
  <c r="L31" i="1"/>
  <c r="P31" i="1" s="1"/>
  <c r="L362" i="1"/>
  <c r="P362" i="1" s="1"/>
  <c r="L188" i="1"/>
  <c r="P188" i="1" s="1"/>
  <c r="L185" i="1"/>
  <c r="P185" i="1" s="1"/>
  <c r="L118" i="1"/>
  <c r="P118" i="1" s="1"/>
  <c r="L69" i="1"/>
  <c r="P69" i="1" s="1"/>
  <c r="L324" i="1"/>
  <c r="P324" i="1" s="1"/>
  <c r="L313" i="1"/>
  <c r="P313" i="1" s="1"/>
  <c r="L292" i="1"/>
  <c r="P292" i="1" s="1"/>
  <c r="L173" i="1"/>
  <c r="P173" i="1" s="1"/>
  <c r="L124" i="1"/>
  <c r="P124" i="1" s="1"/>
  <c r="L134" i="1"/>
  <c r="P134" i="1" s="1"/>
  <c r="L252" i="1"/>
  <c r="P252" i="1" s="1"/>
  <c r="L306" i="1"/>
  <c r="P306" i="1" s="1"/>
  <c r="L230" i="1"/>
  <c r="P230" i="1" s="1"/>
  <c r="L290" i="1"/>
  <c r="P290" i="1" s="1"/>
  <c r="L300" i="1"/>
  <c r="P300" i="1" s="1"/>
  <c r="L406" i="1"/>
  <c r="P406" i="1" s="1"/>
  <c r="L398" i="1"/>
  <c r="P398" i="1" s="1"/>
  <c r="L49" i="1"/>
  <c r="P49" i="1" s="1"/>
  <c r="L3" i="1"/>
  <c r="P3" i="1" s="1"/>
  <c r="L72" i="1"/>
  <c r="P72" i="1" s="1"/>
  <c r="L109" i="1"/>
  <c r="P109" i="1" s="1"/>
  <c r="L133" i="1"/>
  <c r="P133" i="1" s="1"/>
  <c r="L196" i="1"/>
  <c r="P196" i="1" s="1"/>
  <c r="L211" i="1"/>
  <c r="P211" i="1" s="1"/>
  <c r="K433" i="1"/>
  <c r="O433" i="1" s="1"/>
  <c r="O423" i="1"/>
  <c r="K359" i="1"/>
  <c r="O359" i="1" s="1"/>
  <c r="K360" i="1"/>
  <c r="O360" i="1" s="1"/>
  <c r="K42" i="1"/>
  <c r="O42" i="1" s="1"/>
  <c r="K33" i="1"/>
  <c r="O33" i="1" s="1"/>
  <c r="K358" i="1"/>
  <c r="O358" i="1" s="1"/>
  <c r="K268" i="1"/>
  <c r="O268" i="1" s="1"/>
  <c r="K168" i="1"/>
  <c r="O168" i="1" s="1"/>
  <c r="K205" i="1"/>
  <c r="O205" i="1" s="1"/>
  <c r="K238" i="1"/>
  <c r="O238" i="1" s="1"/>
  <c r="K287" i="1"/>
  <c r="O287" i="1" s="1"/>
  <c r="K293" i="1"/>
  <c r="O293" i="1" s="1"/>
  <c r="K183" i="1"/>
  <c r="O183" i="1" s="1"/>
  <c r="K56" i="1"/>
  <c r="O56" i="1" s="1"/>
  <c r="K76" i="1"/>
  <c r="O76" i="1" s="1"/>
  <c r="K71" i="1"/>
  <c r="O71" i="1" s="1"/>
  <c r="K334" i="1"/>
  <c r="O334" i="1" s="1"/>
  <c r="K104" i="1"/>
  <c r="O104" i="1" s="1"/>
  <c r="L432" i="1"/>
  <c r="P432" i="1" s="1"/>
  <c r="L22" i="1"/>
  <c r="P22" i="1" s="1"/>
  <c r="L416" i="1"/>
  <c r="P416" i="1" s="1"/>
  <c r="L407" i="1"/>
  <c r="P407" i="1" s="1"/>
  <c r="L347" i="1"/>
  <c r="P347" i="1" s="1"/>
  <c r="L61" i="1"/>
  <c r="P61" i="1" s="1"/>
  <c r="L12" i="1"/>
  <c r="P12" i="1" s="1"/>
  <c r="L54" i="1"/>
  <c r="P54" i="1" s="1"/>
  <c r="L151" i="1"/>
  <c r="P151" i="1" s="1"/>
  <c r="L257" i="1"/>
  <c r="P257" i="1" s="1"/>
  <c r="L44" i="1"/>
  <c r="P44" i="1" s="1"/>
  <c r="L348" i="1"/>
  <c r="P348" i="1" s="1"/>
  <c r="L93" i="1"/>
  <c r="P93" i="1" s="1"/>
  <c r="L237" i="1"/>
  <c r="P237" i="1" s="1"/>
  <c r="L181" i="1"/>
  <c r="P181" i="1" s="1"/>
  <c r="L214" i="1"/>
  <c r="P214" i="1" s="1"/>
  <c r="L365" i="1"/>
  <c r="P365" i="1" s="1"/>
  <c r="L170" i="1"/>
  <c r="P170" i="1" s="1"/>
  <c r="L17" i="1"/>
  <c r="P17" i="1" s="1"/>
  <c r="L108" i="1"/>
  <c r="P108" i="1" s="1"/>
  <c r="L424" i="1"/>
  <c r="P424" i="1" s="1"/>
  <c r="L312" i="1"/>
  <c r="P312" i="1" s="1"/>
  <c r="L319" i="1"/>
  <c r="P319" i="1" s="1"/>
  <c r="L48" i="1"/>
  <c r="P48" i="1" s="1"/>
  <c r="L90" i="1"/>
  <c r="P90" i="1" s="1"/>
  <c r="L131" i="1"/>
  <c r="P131" i="1" s="1"/>
  <c r="L194" i="1"/>
  <c r="P194" i="1" s="1"/>
  <c r="L215" i="1"/>
  <c r="P215" i="1" s="1"/>
  <c r="K415" i="1"/>
  <c r="O415" i="1" s="1"/>
  <c r="K191" i="1"/>
  <c r="O191" i="1" s="1"/>
  <c r="K272" i="1"/>
  <c r="O272" i="1" s="1"/>
  <c r="K10" i="1"/>
  <c r="O10" i="1" s="1"/>
  <c r="K322" i="1"/>
  <c r="O322" i="1" s="1"/>
  <c r="K154" i="1"/>
  <c r="O154" i="1" s="1"/>
  <c r="K27" i="1"/>
  <c r="O27" i="1" s="1"/>
  <c r="K317" i="1"/>
  <c r="O317" i="1" s="1"/>
  <c r="K289" i="1"/>
  <c r="O289" i="1" s="1"/>
  <c r="K222" i="1"/>
  <c r="O222" i="1" s="1"/>
  <c r="L83" i="1"/>
  <c r="P83" i="1" s="1"/>
  <c r="L402" i="1"/>
  <c r="P402" i="1" s="1"/>
  <c r="L409" i="1"/>
  <c r="P409" i="1" s="1"/>
  <c r="L421" i="1"/>
  <c r="P421" i="1" s="1"/>
  <c r="L343" i="1"/>
  <c r="P343" i="1" s="1"/>
  <c r="L314" i="1"/>
  <c r="P314" i="1" s="1"/>
  <c r="L135" i="1"/>
  <c r="P135" i="1" s="1"/>
  <c r="L351" i="1"/>
  <c r="P351" i="1" s="1"/>
  <c r="L248" i="1"/>
  <c r="P248" i="1" s="1"/>
  <c r="L153" i="1"/>
  <c r="P153" i="1" s="1"/>
  <c r="L140" i="1"/>
  <c r="P140" i="1" s="1"/>
  <c r="L297" i="1"/>
  <c r="P297" i="1" s="1"/>
  <c r="L213" i="1"/>
  <c r="P213" i="1" s="1"/>
  <c r="L262" i="1"/>
  <c r="P262" i="1" s="1"/>
  <c r="L179" i="1"/>
  <c r="P179" i="1" s="1"/>
  <c r="L332" i="1"/>
  <c r="P332" i="1" s="1"/>
  <c r="L184" i="1"/>
  <c r="P184" i="1" s="1"/>
  <c r="L276" i="1"/>
  <c r="P276" i="1" s="1"/>
  <c r="L320" i="1"/>
  <c r="P320" i="1" s="1"/>
  <c r="L270" i="1"/>
  <c r="P270" i="1" s="1"/>
  <c r="L51" i="1"/>
  <c r="P51" i="1" s="1"/>
  <c r="L107" i="1"/>
  <c r="P107" i="1" s="1"/>
  <c r="L146" i="1"/>
  <c r="P146" i="1" s="1"/>
  <c r="L197" i="1"/>
  <c r="P197" i="1" s="1"/>
  <c r="L226" i="1"/>
  <c r="P226" i="1" s="1"/>
  <c r="K340" i="1"/>
  <c r="O340" i="1" s="1"/>
  <c r="K354" i="1"/>
  <c r="O354" i="1" s="1"/>
  <c r="K299" i="1"/>
  <c r="O299" i="1" s="1"/>
  <c r="K203" i="1"/>
  <c r="O203" i="1" s="1"/>
  <c r="K225" i="1"/>
  <c r="O225" i="1" s="1"/>
  <c r="K163" i="1"/>
  <c r="O163" i="1" s="1"/>
  <c r="K174" i="1"/>
  <c r="O174" i="1" s="1"/>
  <c r="L431" i="1"/>
  <c r="P431" i="1" s="1"/>
  <c r="L58" i="1"/>
  <c r="P58" i="1" s="1"/>
  <c r="L425" i="1"/>
  <c r="P425" i="1" s="1"/>
  <c r="L321" i="1"/>
  <c r="P321" i="1" s="1"/>
  <c r="L372" i="1"/>
  <c r="P372" i="1" s="1"/>
  <c r="L400" i="1"/>
  <c r="P400" i="1" s="1"/>
  <c r="L302" i="1"/>
  <c r="P302" i="1" s="1"/>
  <c r="L192" i="1"/>
  <c r="P192" i="1" s="1"/>
  <c r="L243" i="1"/>
  <c r="P243" i="1" s="1"/>
  <c r="L242" i="1"/>
  <c r="P242" i="1" s="1"/>
  <c r="L356" i="1"/>
  <c r="P356" i="1" s="1"/>
  <c r="L193" i="1"/>
  <c r="P193" i="1" s="1"/>
  <c r="L305" i="1"/>
  <c r="P305" i="1" s="1"/>
  <c r="L187" i="1"/>
  <c r="P187" i="1" s="1"/>
  <c r="L330" i="1"/>
  <c r="P330" i="1" s="1"/>
  <c r="L55" i="1"/>
  <c r="P55" i="1" s="1"/>
  <c r="L28" i="1"/>
  <c r="P28" i="1" s="1"/>
  <c r="L88" i="1"/>
  <c r="P88" i="1" s="1"/>
  <c r="L112" i="1"/>
  <c r="P112" i="1" s="1"/>
  <c r="L156" i="1"/>
  <c r="P156" i="1" s="1"/>
  <c r="L198" i="1"/>
  <c r="P198" i="1" s="1"/>
  <c r="L23" i="1"/>
  <c r="P23" i="1" s="1"/>
  <c r="K91" i="1"/>
  <c r="O91" i="1" s="1"/>
  <c r="K327" i="1"/>
  <c r="O327" i="1" s="1"/>
  <c r="K273" i="1"/>
  <c r="O273" i="1" s="1"/>
  <c r="K217" i="1"/>
  <c r="O217" i="1" s="1"/>
  <c r="K367" i="1"/>
  <c r="O367" i="1" s="1"/>
  <c r="K123" i="1"/>
  <c r="O123" i="1" s="1"/>
  <c r="K81" i="1"/>
  <c r="O81" i="1" s="1"/>
  <c r="L403" i="1"/>
  <c r="P403" i="1" s="1"/>
  <c r="L65" i="1"/>
  <c r="P65" i="1" s="1"/>
  <c r="L43" i="1"/>
  <c r="P43" i="1" s="1"/>
  <c r="L415" i="1"/>
  <c r="P415" i="1" s="1"/>
  <c r="L363" i="1"/>
  <c r="P363" i="1" s="1"/>
  <c r="L323" i="1"/>
  <c r="P323" i="1" s="1"/>
  <c r="L392" i="1"/>
  <c r="P392" i="1" s="1"/>
  <c r="L116" i="1"/>
  <c r="P116" i="1" s="1"/>
  <c r="L284" i="1"/>
  <c r="P284" i="1" s="1"/>
  <c r="L164" i="1"/>
  <c r="P164" i="1" s="1"/>
  <c r="L139" i="1"/>
  <c r="P139" i="1" s="1"/>
  <c r="L277" i="1"/>
  <c r="P277" i="1" s="1"/>
  <c r="L138" i="1"/>
  <c r="P138" i="1" s="1"/>
  <c r="L223" i="1"/>
  <c r="P223" i="1" s="1"/>
  <c r="L353" i="1"/>
  <c r="P353" i="1" s="1"/>
  <c r="L418" i="1"/>
  <c r="P418" i="1" s="1"/>
  <c r="L374" i="1"/>
  <c r="P374" i="1" s="1"/>
  <c r="L15" i="1"/>
  <c r="P15" i="1" s="1"/>
  <c r="L80" i="1"/>
  <c r="P80" i="1" s="1"/>
  <c r="L121" i="1"/>
  <c r="P121" i="1" s="1"/>
  <c r="L160" i="1"/>
  <c r="P160" i="1" s="1"/>
  <c r="L202" i="1"/>
  <c r="P202" i="1" s="1"/>
  <c r="L104" i="1"/>
  <c r="P104" i="1" s="1"/>
  <c r="K67" i="1"/>
  <c r="O67" i="1" s="1"/>
  <c r="K141" i="1"/>
  <c r="O141" i="1" s="1"/>
  <c r="K342" i="1"/>
  <c r="O342" i="1" s="1"/>
  <c r="K25" i="1"/>
  <c r="O25" i="1" s="1"/>
  <c r="K182" i="1"/>
  <c r="O182" i="1" s="1"/>
  <c r="L422" i="1"/>
  <c r="P422" i="1" s="1"/>
  <c r="L404" i="1"/>
  <c r="P404" i="1" s="1"/>
  <c r="L413" i="1"/>
  <c r="P413" i="1" s="1"/>
  <c r="L86" i="1"/>
  <c r="P86" i="1" s="1"/>
  <c r="L64" i="1"/>
  <c r="P64" i="1" s="1"/>
  <c r="L388" i="1"/>
  <c r="P388" i="1" s="1"/>
  <c r="L246" i="1"/>
  <c r="P246" i="1" s="1"/>
  <c r="L77" i="1"/>
  <c r="P77" i="1" s="1"/>
  <c r="L176" i="1"/>
  <c r="P176" i="1" s="1"/>
  <c r="L236" i="1"/>
  <c r="P236" i="1" s="1"/>
  <c r="L132" i="1"/>
  <c r="P132" i="1" s="1"/>
  <c r="L177" i="1"/>
  <c r="P177" i="1" s="1"/>
  <c r="L178" i="1"/>
  <c r="P178" i="1" s="1"/>
  <c r="L434" i="1"/>
  <c r="P434" i="1" s="1"/>
  <c r="L166" i="1"/>
  <c r="P166" i="1" s="1"/>
  <c r="L180" i="1"/>
  <c r="P180" i="1" s="1"/>
  <c r="L227" i="1"/>
  <c r="P227" i="1" s="1"/>
  <c r="L345" i="1"/>
  <c r="P345" i="1" s="1"/>
  <c r="L370" i="1"/>
  <c r="P370" i="1" s="1"/>
  <c r="L120" i="1"/>
  <c r="P120" i="1" s="1"/>
  <c r="L143" i="1"/>
  <c r="P143" i="1" s="1"/>
  <c r="L280" i="1"/>
  <c r="P280" i="1" s="1"/>
  <c r="L337" i="1"/>
  <c r="P337" i="1" s="1"/>
  <c r="L11" i="1"/>
  <c r="P11" i="1" s="1"/>
  <c r="L52" i="1"/>
  <c r="P52" i="1" s="1"/>
  <c r="L102" i="1"/>
  <c r="P102" i="1" s="1"/>
  <c r="L126" i="1"/>
  <c r="P126" i="1" s="1"/>
  <c r="L162" i="1"/>
  <c r="P162" i="1" s="1"/>
  <c r="L18" i="1"/>
  <c r="P18" i="1" s="1"/>
  <c r="K41" i="1"/>
  <c r="O41" i="1" s="1"/>
  <c r="K435" i="1"/>
  <c r="O435" i="1" s="1"/>
  <c r="K307" i="1"/>
  <c r="O307" i="1" s="1"/>
  <c r="K74" i="1"/>
  <c r="O74" i="1" s="1"/>
  <c r="K189" i="1"/>
  <c r="O189" i="1" s="1"/>
  <c r="K39" i="1"/>
  <c r="O39" i="1" s="1"/>
  <c r="K304" i="1"/>
  <c r="O304" i="1" s="1"/>
  <c r="K208" i="1"/>
  <c r="O208" i="1" s="1"/>
  <c r="L417" i="1"/>
  <c r="P417" i="1" s="1"/>
  <c r="L21" i="1"/>
  <c r="P21" i="1" s="1"/>
  <c r="L47" i="1"/>
  <c r="P47" i="1" s="1"/>
  <c r="L376" i="1"/>
  <c r="P376" i="1" s="1"/>
  <c r="L279" i="1"/>
  <c r="P279" i="1" s="1"/>
  <c r="L105" i="1"/>
  <c r="P105" i="1" s="1"/>
  <c r="L97" i="1"/>
  <c r="P97" i="1" s="1"/>
  <c r="L384" i="1"/>
  <c r="P384" i="1" s="1"/>
  <c r="L308" i="1"/>
  <c r="P308" i="1" s="1"/>
  <c r="L50" i="1"/>
  <c r="P50" i="1" s="1"/>
  <c r="L40" i="1"/>
  <c r="P40" i="1" s="1"/>
  <c r="L329" i="1"/>
  <c r="P329" i="1" s="1"/>
  <c r="L216" i="1"/>
  <c r="P216" i="1" s="1"/>
  <c r="L261" i="1"/>
  <c r="P261" i="1" s="1"/>
  <c r="L114" i="1"/>
  <c r="P114" i="1" s="1"/>
  <c r="L204" i="1"/>
  <c r="P204" i="1" s="1"/>
  <c r="L73" i="1"/>
  <c r="P73" i="1" s="1"/>
  <c r="L247" i="1"/>
  <c r="P247" i="1" s="1"/>
  <c r="L260" i="1"/>
  <c r="P260" i="1" s="1"/>
  <c r="L20" i="1"/>
  <c r="P20" i="1" s="1"/>
  <c r="L89" i="1"/>
  <c r="P89" i="1" s="1"/>
  <c r="L14" i="1"/>
  <c r="P14" i="1" s="1"/>
  <c r="L53" i="1"/>
  <c r="P53" i="1" s="1"/>
  <c r="L110" i="1"/>
  <c r="P110" i="1" s="1"/>
  <c r="L152" i="1"/>
  <c r="P152" i="1" s="1"/>
  <c r="L169" i="1"/>
  <c r="P169" i="1" s="1"/>
  <c r="L221" i="1"/>
  <c r="P221" i="1" s="1"/>
  <c r="K106" i="1"/>
  <c r="O106" i="1" s="1"/>
  <c r="K371" i="1"/>
  <c r="O371" i="1" s="1"/>
  <c r="K98" i="1"/>
  <c r="O98" i="1" s="1"/>
  <c r="K271" i="1"/>
  <c r="O271" i="1" s="1"/>
  <c r="K149" i="1"/>
  <c r="O149" i="1" s="1"/>
  <c r="K206" i="1"/>
  <c r="O206" i="1" s="1"/>
  <c r="K200" i="1"/>
  <c r="O200" i="1" s="1"/>
  <c r="K361" i="1"/>
  <c r="O361" i="1" s="1"/>
  <c r="K82" i="1"/>
  <c r="O82" i="1" s="1"/>
  <c r="K158" i="1"/>
  <c r="O158" i="1" s="1"/>
  <c r="L427" i="1"/>
  <c r="P427" i="1" s="1"/>
  <c r="L63" i="1"/>
  <c r="P63" i="1" s="1"/>
  <c r="L410" i="1"/>
  <c r="P410" i="1" s="1"/>
  <c r="L209" i="1"/>
  <c r="P209" i="1" s="1"/>
  <c r="L267" i="1"/>
  <c r="P267" i="1" s="1"/>
  <c r="L355" i="1"/>
  <c r="P355" i="1" s="1"/>
  <c r="L296" i="1"/>
  <c r="P296" i="1" s="1"/>
  <c r="L244" i="1"/>
  <c r="P244" i="1" s="1"/>
  <c r="L34" i="1"/>
  <c r="P34" i="1" s="1"/>
  <c r="L94" i="1"/>
  <c r="P94" i="1" s="1"/>
  <c r="L145" i="1"/>
  <c r="P145" i="1" s="1"/>
  <c r="L172" i="1"/>
  <c r="P172" i="1" s="1"/>
  <c r="L218" i="1"/>
  <c r="P218" i="1" s="1"/>
  <c r="K137" i="1"/>
  <c r="O137" i="1" s="1"/>
  <c r="L333" i="1"/>
  <c r="P333" i="1" s="1"/>
  <c r="L60" i="1"/>
  <c r="P60" i="1" s="1"/>
  <c r="L157" i="1"/>
  <c r="P157" i="1" s="1"/>
  <c r="L103" i="1"/>
  <c r="P103" i="1" s="1"/>
  <c r="L212" i="1"/>
  <c r="P212" i="1" s="1"/>
  <c r="L167" i="1"/>
  <c r="P167" i="1" s="1"/>
  <c r="L148" i="1"/>
  <c r="P148" i="1" s="1"/>
  <c r="L19" i="1"/>
  <c r="P19" i="1" s="1"/>
  <c r="L75" i="1"/>
  <c r="P75" i="1" s="1"/>
  <c r="L111" i="1"/>
  <c r="P111" i="1" s="1"/>
  <c r="L161" i="1"/>
  <c r="P161" i="1" s="1"/>
  <c r="L207" i="1"/>
  <c r="P207" i="1" s="1"/>
  <c r="K142" i="1"/>
  <c r="O142" i="1" s="1"/>
  <c r="L419" i="1"/>
  <c r="P419" i="1" s="1"/>
  <c r="L394" i="1"/>
  <c r="P394" i="1" s="1"/>
  <c r="L224" i="1"/>
  <c r="P224" i="1" s="1"/>
  <c r="L377" i="1"/>
  <c r="P377" i="1" s="1"/>
  <c r="L16" i="1"/>
  <c r="P16" i="1" s="1"/>
  <c r="L26" i="1"/>
  <c r="P26" i="1" s="1"/>
  <c r="L46" i="1"/>
  <c r="P46" i="1" s="1"/>
  <c r="L87" i="1"/>
  <c r="P87" i="1" s="1"/>
  <c r="L113" i="1"/>
  <c r="P113" i="1" s="1"/>
  <c r="L159" i="1"/>
  <c r="P159" i="1" s="1"/>
  <c r="L199" i="1"/>
  <c r="P199" i="1" s="1"/>
  <c r="J104" i="1"/>
  <c r="J137" i="1"/>
  <c r="L137" i="1"/>
  <c r="P137" i="1" s="1"/>
  <c r="L142" i="1"/>
  <c r="P142" i="1" s="1"/>
  <c r="J142" i="1"/>
  <c r="J158" i="1"/>
  <c r="L158" i="1"/>
  <c r="P158" i="1" s="1"/>
  <c r="J174" i="1"/>
  <c r="L174" i="1"/>
  <c r="P174" i="1" s="1"/>
  <c r="L182" i="1"/>
  <c r="P182" i="1" s="1"/>
  <c r="J182" i="1"/>
  <c r="J208" i="1"/>
  <c r="L208" i="1"/>
  <c r="P208" i="1" s="1"/>
  <c r="L222" i="1"/>
  <c r="P222" i="1" s="1"/>
  <c r="J222" i="1"/>
  <c r="C50" i="3"/>
  <c r="E50" i="3"/>
  <c r="C51" i="3"/>
  <c r="E51" i="3"/>
  <c r="C52" i="3"/>
  <c r="E52" i="3"/>
  <c r="C53" i="3"/>
  <c r="E53" i="3"/>
  <c r="L326" i="1"/>
  <c r="P326" i="1" s="1"/>
  <c r="J326" i="1"/>
  <c r="J366" i="1"/>
  <c r="L366" i="1"/>
  <c r="P366" i="1" s="1"/>
  <c r="L339" i="1"/>
  <c r="P339" i="1" s="1"/>
  <c r="J339" i="1"/>
  <c r="J411" i="1"/>
  <c r="L411" i="1"/>
  <c r="P411" i="1" s="1"/>
  <c r="J250" i="1"/>
  <c r="L250" i="1"/>
  <c r="P250" i="1" s="1"/>
  <c r="J301" i="1"/>
  <c r="L301" i="1"/>
  <c r="P301" i="1" s="1"/>
  <c r="L256" i="1"/>
  <c r="P256" i="1" s="1"/>
  <c r="J256" i="1"/>
  <c r="L278" i="1"/>
  <c r="P278" i="1" s="1"/>
  <c r="J278" i="1"/>
  <c r="J294" i="1"/>
  <c r="K294" i="1"/>
  <c r="O294" i="1" s="1"/>
  <c r="L286" i="1"/>
  <c r="P286" i="1" s="1"/>
  <c r="J286" i="1"/>
  <c r="L375" i="1"/>
  <c r="P375" i="1" s="1"/>
  <c r="J375" i="1"/>
  <c r="J245" i="1"/>
  <c r="L245" i="1"/>
  <c r="P245" i="1" s="1"/>
  <c r="L338" i="1"/>
  <c r="P338" i="1" s="1"/>
  <c r="J338" i="1"/>
  <c r="L364" i="1"/>
  <c r="P364" i="1" s="1"/>
  <c r="J364" i="1"/>
  <c r="L396" i="1"/>
  <c r="P396" i="1" s="1"/>
  <c r="J396" i="1"/>
  <c r="J344" i="1"/>
  <c r="L344" i="1"/>
  <c r="P344" i="1" s="1"/>
  <c r="J249" i="1"/>
  <c r="L249" i="1"/>
  <c r="P249" i="1" s="1"/>
  <c r="J117" i="1"/>
  <c r="L117" i="1"/>
  <c r="P117" i="1" s="1"/>
  <c r="J387" i="1"/>
  <c r="L387" i="1"/>
  <c r="P387" i="1" s="1"/>
  <c r="J430" i="1"/>
  <c r="L430" i="1"/>
  <c r="P430" i="1" s="1"/>
  <c r="L95" i="1"/>
  <c r="P95" i="1" s="1"/>
  <c r="J95" i="1"/>
  <c r="L253" i="1"/>
  <c r="P253" i="1" s="1"/>
  <c r="J253" i="1"/>
  <c r="J349" i="1"/>
  <c r="L349" i="1"/>
  <c r="P349" i="1" s="1"/>
  <c r="L378" i="1"/>
  <c r="P378" i="1" s="1"/>
  <c r="J378" i="1"/>
  <c r="J9" i="1"/>
  <c r="L9" i="1"/>
  <c r="P9" i="1" s="1"/>
  <c r="L373" i="1"/>
  <c r="P373" i="1" s="1"/>
  <c r="J373" i="1"/>
  <c r="L275" i="1"/>
  <c r="P275" i="1" s="1"/>
  <c r="J275" i="1"/>
  <c r="L357" i="1"/>
  <c r="P357" i="1" s="1"/>
  <c r="J357" i="1"/>
  <c r="J32" i="1"/>
  <c r="L32" i="1"/>
  <c r="P32" i="1" s="1"/>
  <c r="J254" i="1"/>
  <c r="L254" i="1"/>
  <c r="P254" i="1" s="1"/>
  <c r="L437" i="1"/>
  <c r="P437" i="1" s="1"/>
  <c r="J437" i="1"/>
  <c r="L408" i="1"/>
  <c r="P408" i="1" s="1"/>
  <c r="J408" i="1"/>
  <c r="J29" i="1"/>
  <c r="L29" i="1"/>
  <c r="P29" i="1" s="1"/>
  <c r="J239" i="1"/>
  <c r="L239" i="1"/>
  <c r="P239" i="1" s="1"/>
  <c r="L405" i="1"/>
  <c r="P405" i="1" s="1"/>
  <c r="J405" i="1"/>
  <c r="L8" i="1"/>
  <c r="P8" i="1" s="1"/>
  <c r="J8" i="1"/>
  <c r="J269" i="1"/>
  <c r="L269" i="1"/>
  <c r="P269" i="1" s="1"/>
  <c r="L350" i="1"/>
  <c r="P350" i="1" s="1"/>
  <c r="J350" i="1"/>
  <c r="L258" i="1"/>
  <c r="P258" i="1" s="1"/>
  <c r="J258" i="1"/>
  <c r="J201" i="1"/>
  <c r="L201" i="1"/>
  <c r="P201" i="1" s="1"/>
  <c r="J4" i="1"/>
  <c r="L4" i="1"/>
  <c r="P4" i="1" s="1"/>
  <c r="L397" i="1"/>
  <c r="P397" i="1" s="1"/>
  <c r="J397" i="1"/>
  <c r="L303" i="1"/>
  <c r="P303" i="1" s="1"/>
  <c r="J303" i="1"/>
  <c r="L235" i="1"/>
  <c r="P235" i="1" s="1"/>
  <c r="J235" i="1"/>
  <c r="L233" i="1"/>
  <c r="P233" i="1" s="1"/>
  <c r="J233" i="1"/>
  <c r="J283" i="1"/>
  <c r="L283" i="1"/>
  <c r="P283" i="1" s="1"/>
  <c r="L264" i="1"/>
  <c r="P264" i="1" s="1"/>
  <c r="J264" i="1"/>
  <c r="L325" i="1"/>
  <c r="P325" i="1" s="1"/>
  <c r="J325" i="1"/>
  <c r="L7" i="1"/>
  <c r="P7" i="1" s="1"/>
  <c r="J7" i="1"/>
  <c r="J13" i="1"/>
  <c r="L13" i="1"/>
  <c r="P13" i="1" s="1"/>
  <c r="J285" i="1"/>
  <c r="L285" i="1"/>
  <c r="P285" i="1" s="1"/>
  <c r="J381" i="1"/>
  <c r="L381" i="1"/>
  <c r="P381" i="1" s="1"/>
  <c r="J401" i="1"/>
  <c r="L401" i="1"/>
  <c r="P401" i="1" s="1"/>
  <c r="J369" i="1"/>
  <c r="L369" i="1"/>
  <c r="P369" i="1" s="1"/>
  <c r="L265" i="1"/>
  <c r="P265" i="1" s="1"/>
  <c r="J265" i="1"/>
  <c r="J295" i="1"/>
  <c r="L295" i="1"/>
  <c r="P295" i="1" s="1"/>
  <c r="L240" i="1"/>
  <c r="P240" i="1" s="1"/>
  <c r="J240" i="1"/>
  <c r="J346" i="1"/>
  <c r="L346" i="1"/>
  <c r="P346" i="1" s="1"/>
  <c r="J228" i="1"/>
  <c r="L228" i="1"/>
  <c r="P228" i="1" s="1"/>
  <c r="J436" i="1"/>
  <c r="L436" i="1"/>
  <c r="P436" i="1" s="1"/>
  <c r="C37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8" i="3"/>
  <c r="C39" i="3"/>
  <c r="C40" i="3"/>
  <c r="C41" i="3"/>
  <c r="C42" i="3"/>
  <c r="C43" i="3"/>
  <c r="C44" i="3"/>
  <c r="C45" i="3"/>
  <c r="C46" i="3"/>
  <c r="C47" i="3"/>
  <c r="C48" i="3"/>
  <c r="C49" i="3"/>
  <c r="C12" i="3"/>
  <c r="D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90" i="3"/>
  <c r="D79" i="3"/>
  <c r="C92" i="3"/>
  <c r="C93" i="3"/>
  <c r="C94" i="3"/>
  <c r="C95" i="3"/>
  <c r="C97" i="3"/>
  <c r="C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80" i="3"/>
  <c r="D81" i="3"/>
  <c r="D82" i="3"/>
  <c r="D90" i="3"/>
  <c r="D91" i="3"/>
  <c r="D92" i="3"/>
  <c r="D93" i="3"/>
  <c r="D94" i="3"/>
  <c r="D95" i="3"/>
  <c r="C91" i="3"/>
  <c r="D97" i="3"/>
  <c r="F97" i="3"/>
  <c r="F95" i="3"/>
  <c r="F94" i="3"/>
  <c r="F93" i="3"/>
  <c r="F92" i="3"/>
  <c r="E49" i="3"/>
  <c r="E48" i="3"/>
  <c r="E47" i="3"/>
  <c r="E46" i="3"/>
  <c r="E45" i="3"/>
  <c r="E44" i="3"/>
  <c r="E43" i="3"/>
  <c r="F90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E32" i="3"/>
  <c r="E42" i="3"/>
  <c r="E41" i="3"/>
  <c r="E40" i="3"/>
  <c r="E39" i="3"/>
  <c r="E38" i="3"/>
  <c r="E37" i="3"/>
  <c r="E36" i="3"/>
  <c r="E35" i="3"/>
  <c r="E34" i="3"/>
  <c r="E33" i="3"/>
  <c r="E31" i="3"/>
  <c r="G1" i="1"/>
  <c r="O5" i="1" l="1"/>
  <c r="H1" i="1"/>
  <c r="K393" i="1"/>
  <c r="O393" i="1" s="1"/>
  <c r="J393" i="1"/>
  <c r="K219" i="1"/>
  <c r="O219" i="1" s="1"/>
  <c r="J219" i="1"/>
  <c r="J6" i="1"/>
  <c r="I1" i="1"/>
  <c r="K37" i="1"/>
  <c r="O37" i="1" s="1"/>
  <c r="J37" i="1"/>
  <c r="K12" i="1"/>
  <c r="O12" i="1" s="1"/>
  <c r="J12" i="1"/>
  <c r="K300" i="1"/>
  <c r="O300" i="1" s="1"/>
  <c r="J300" i="1"/>
  <c r="K406" i="1"/>
  <c r="O406" i="1" s="1"/>
  <c r="J406" i="1"/>
  <c r="L220" i="1"/>
  <c r="P220" i="1" s="1"/>
  <c r="J220" i="1"/>
  <c r="L311" i="1"/>
  <c r="P311" i="1" s="1"/>
  <c r="J311" i="1"/>
  <c r="K352" i="1"/>
  <c r="O352" i="1" s="1"/>
  <c r="J352" i="1"/>
  <c r="K395" i="1"/>
  <c r="O395" i="1" s="1"/>
  <c r="J395" i="1"/>
  <c r="K313" i="1"/>
  <c r="O313" i="1" s="1"/>
  <c r="J313" i="1"/>
  <c r="K292" i="1"/>
  <c r="O292" i="1" s="1"/>
  <c r="J292" i="1"/>
  <c r="K173" i="1"/>
  <c r="O173" i="1" s="1"/>
  <c r="J173" i="1"/>
  <c r="K306" i="1"/>
  <c r="O306" i="1" s="1"/>
  <c r="J306" i="1"/>
  <c r="K230" i="1"/>
  <c r="O230" i="1" s="1"/>
  <c r="J230" i="1"/>
  <c r="J428" i="1"/>
  <c r="L428" i="1"/>
  <c r="P428" i="1" s="1"/>
  <c r="L331" i="1"/>
  <c r="P331" i="1" s="1"/>
  <c r="J331" i="1"/>
  <c r="L328" i="1"/>
  <c r="P328" i="1" s="1"/>
  <c r="J328" i="1"/>
  <c r="L385" i="1"/>
  <c r="P385" i="1" s="1"/>
  <c r="J385" i="1"/>
  <c r="J183" i="1"/>
  <c r="L183" i="1"/>
  <c r="P183" i="1" s="1"/>
  <c r="K409" i="1"/>
  <c r="O409" i="1" s="1"/>
  <c r="J409" i="1"/>
  <c r="K421" i="1"/>
  <c r="O421" i="1" s="1"/>
  <c r="J421" i="1"/>
  <c r="K412" i="1"/>
  <c r="O412" i="1" s="1"/>
  <c r="J412" i="1"/>
  <c r="K372" i="1"/>
  <c r="O372" i="1" s="1"/>
  <c r="J372" i="1"/>
  <c r="K400" i="1"/>
  <c r="O400" i="1" s="1"/>
  <c r="J400" i="1"/>
  <c r="K257" i="1"/>
  <c r="O257" i="1" s="1"/>
  <c r="J257" i="1"/>
  <c r="K297" i="1"/>
  <c r="O297" i="1" s="1"/>
  <c r="J297" i="1"/>
  <c r="K281" i="1"/>
  <c r="O281" i="1" s="1"/>
  <c r="J281" i="1"/>
  <c r="K179" i="1"/>
  <c r="O179" i="1" s="1"/>
  <c r="J179" i="1"/>
  <c r="K332" i="1"/>
  <c r="O332" i="1" s="1"/>
  <c r="J332" i="1"/>
  <c r="K227" i="1"/>
  <c r="O227" i="1" s="1"/>
  <c r="J227" i="1"/>
  <c r="J143" i="1"/>
  <c r="K143" i="1"/>
  <c r="O143" i="1" s="1"/>
  <c r="K418" i="1"/>
  <c r="O418" i="1" s="1"/>
  <c r="J418" i="1"/>
  <c r="K312" i="1"/>
  <c r="O312" i="1" s="1"/>
  <c r="J312" i="1"/>
  <c r="K386" i="1"/>
  <c r="O386" i="1" s="1"/>
  <c r="J386" i="1"/>
  <c r="J268" i="1"/>
  <c r="L268" i="1"/>
  <c r="P268" i="1" s="1"/>
  <c r="J168" i="1"/>
  <c r="L168" i="1"/>
  <c r="P168" i="1" s="1"/>
  <c r="L205" i="1"/>
  <c r="P205" i="1" s="1"/>
  <c r="J205" i="1"/>
  <c r="L293" i="1"/>
  <c r="P293" i="1" s="1"/>
  <c r="J293" i="1"/>
  <c r="L62" i="1"/>
  <c r="P62" i="1" s="1"/>
  <c r="J62" i="1"/>
  <c r="J144" i="1"/>
  <c r="L144" i="1"/>
  <c r="P144" i="1" s="1"/>
  <c r="J429" i="1"/>
  <c r="L429" i="1"/>
  <c r="P429" i="1" s="1"/>
  <c r="L282" i="1"/>
  <c r="P282" i="1" s="1"/>
  <c r="J282" i="1"/>
  <c r="K402" i="1"/>
  <c r="O402" i="1" s="1"/>
  <c r="J402" i="1"/>
  <c r="K65" i="1"/>
  <c r="O65" i="1" s="1"/>
  <c r="J65" i="1"/>
  <c r="K43" i="1"/>
  <c r="O43" i="1" s="1"/>
  <c r="J43" i="1"/>
  <c r="K376" i="1"/>
  <c r="O376" i="1" s="1"/>
  <c r="J376" i="1"/>
  <c r="K135" i="1"/>
  <c r="O135" i="1" s="1"/>
  <c r="J135" i="1"/>
  <c r="K341" i="1"/>
  <c r="O341" i="1" s="1"/>
  <c r="J341" i="1"/>
  <c r="K44" i="1"/>
  <c r="O44" i="1" s="1"/>
  <c r="J44" i="1"/>
  <c r="K236" i="1"/>
  <c r="O236" i="1" s="1"/>
  <c r="J236" i="1"/>
  <c r="K40" i="1"/>
  <c r="O40" i="1" s="1"/>
  <c r="J40" i="1"/>
  <c r="K329" i="1"/>
  <c r="O329" i="1" s="1"/>
  <c r="J329" i="1"/>
  <c r="K139" i="1"/>
  <c r="O139" i="1" s="1"/>
  <c r="J139" i="1"/>
  <c r="K114" i="1"/>
  <c r="O114" i="1" s="1"/>
  <c r="J114" i="1"/>
  <c r="K204" i="1"/>
  <c r="O204" i="1" s="1"/>
  <c r="J204" i="1"/>
  <c r="K120" i="1"/>
  <c r="O120" i="1" s="1"/>
  <c r="J120" i="1"/>
  <c r="K136" i="1"/>
  <c r="O136" i="1" s="1"/>
  <c r="J136" i="1"/>
  <c r="K424" i="1"/>
  <c r="O424" i="1" s="1"/>
  <c r="J424" i="1"/>
  <c r="K89" i="1"/>
  <c r="O89" i="1" s="1"/>
  <c r="J89" i="1"/>
  <c r="L5" i="1"/>
  <c r="P5" i="1" s="1"/>
  <c r="J5" i="1"/>
  <c r="J379" i="1"/>
  <c r="L379" i="1"/>
  <c r="P379" i="1" s="1"/>
  <c r="L336" i="1"/>
  <c r="P336" i="1" s="1"/>
  <c r="J336" i="1"/>
  <c r="L125" i="1"/>
  <c r="P125" i="1" s="1"/>
  <c r="J125" i="1"/>
  <c r="L66" i="1"/>
  <c r="P66" i="1" s="1"/>
  <c r="J66" i="1"/>
  <c r="J150" i="1"/>
  <c r="L150" i="1"/>
  <c r="P150" i="1" s="1"/>
  <c r="L315" i="1"/>
  <c r="P315" i="1" s="1"/>
  <c r="J315" i="1"/>
  <c r="L99" i="1"/>
  <c r="P99" i="1" s="1"/>
  <c r="J99" i="1"/>
  <c r="L288" i="1"/>
  <c r="P288" i="1" s="1"/>
  <c r="J288" i="1"/>
  <c r="J85" i="1"/>
  <c r="L85" i="1"/>
  <c r="P85" i="1" s="1"/>
  <c r="J76" i="1"/>
  <c r="L76" i="1"/>
  <c r="P76" i="1" s="1"/>
  <c r="L130" i="1"/>
  <c r="P130" i="1" s="1"/>
  <c r="J130" i="1"/>
  <c r="K209" i="1"/>
  <c r="O209" i="1" s="1"/>
  <c r="J209" i="1"/>
  <c r="K362" i="1"/>
  <c r="O362" i="1" s="1"/>
  <c r="J362" i="1"/>
  <c r="K185" i="1"/>
  <c r="O185" i="1" s="1"/>
  <c r="J185" i="1"/>
  <c r="K118" i="1"/>
  <c r="O118" i="1" s="1"/>
  <c r="J118" i="1"/>
  <c r="K171" i="1"/>
  <c r="O171" i="1" s="1"/>
  <c r="J171" i="1"/>
  <c r="K262" i="1"/>
  <c r="O262" i="1" s="1"/>
  <c r="J262" i="1"/>
  <c r="K237" i="1"/>
  <c r="O237" i="1" s="1"/>
  <c r="J237" i="1"/>
  <c r="K180" i="1"/>
  <c r="O180" i="1" s="1"/>
  <c r="J180" i="1"/>
  <c r="K298" i="1"/>
  <c r="O298" i="1" s="1"/>
  <c r="J298" i="1"/>
  <c r="K345" i="1"/>
  <c r="O345" i="1" s="1"/>
  <c r="J345" i="1"/>
  <c r="K251" i="1"/>
  <c r="O251" i="1" s="1"/>
  <c r="J251" i="1"/>
  <c r="K370" i="1"/>
  <c r="O370" i="1" s="1"/>
  <c r="J370" i="1"/>
  <c r="K270" i="1"/>
  <c r="O270" i="1" s="1"/>
  <c r="J270" i="1"/>
  <c r="K368" i="1"/>
  <c r="O368" i="1" s="1"/>
  <c r="J368" i="1"/>
  <c r="K190" i="1"/>
  <c r="O190" i="1" s="1"/>
  <c r="J190" i="1"/>
  <c r="L38" i="1"/>
  <c r="P38" i="1" s="1"/>
  <c r="J38" i="1"/>
  <c r="J423" i="1"/>
  <c r="L423" i="1"/>
  <c r="P423" i="1" s="1"/>
  <c r="L42" i="1"/>
  <c r="P42" i="1" s="1"/>
  <c r="J42" i="1"/>
  <c r="L186" i="1"/>
  <c r="P186" i="1" s="1"/>
  <c r="J186" i="1"/>
  <c r="L84" i="1"/>
  <c r="P84" i="1" s="1"/>
  <c r="J84" i="1"/>
  <c r="L92" i="1"/>
  <c r="P92" i="1" s="1"/>
  <c r="J92" i="1"/>
  <c r="J231" i="1"/>
  <c r="L231" i="1"/>
  <c r="P231" i="1" s="1"/>
  <c r="J119" i="1"/>
  <c r="L119" i="1"/>
  <c r="P119" i="1" s="1"/>
  <c r="L155" i="1"/>
  <c r="P155" i="1" s="1"/>
  <c r="J155" i="1"/>
  <c r="K432" i="1"/>
  <c r="J432" i="1"/>
  <c r="K417" i="1"/>
  <c r="O417" i="1" s="1"/>
  <c r="J417" i="1"/>
  <c r="K403" i="1"/>
  <c r="O403" i="1" s="1"/>
  <c r="J403" i="1"/>
  <c r="K404" i="1"/>
  <c r="O404" i="1" s="1"/>
  <c r="J404" i="1"/>
  <c r="K399" i="1"/>
  <c r="O399" i="1" s="1"/>
  <c r="J399" i="1"/>
  <c r="K309" i="1"/>
  <c r="O309" i="1" s="1"/>
  <c r="J309" i="1"/>
  <c r="K31" i="1"/>
  <c r="O31" i="1" s="1"/>
  <c r="J31" i="1"/>
  <c r="K279" i="1"/>
  <c r="O279" i="1" s="1"/>
  <c r="J279" i="1"/>
  <c r="K246" i="1"/>
  <c r="O246" i="1" s="1"/>
  <c r="J246" i="1"/>
  <c r="K176" i="1"/>
  <c r="O176" i="1" s="1"/>
  <c r="J176" i="1"/>
  <c r="K324" i="1"/>
  <c r="O324" i="1" s="1"/>
  <c r="J324" i="1"/>
  <c r="K392" i="1"/>
  <c r="O392" i="1" s="1"/>
  <c r="J392" i="1"/>
  <c r="K132" i="1"/>
  <c r="O132" i="1" s="1"/>
  <c r="J132" i="1"/>
  <c r="K274" i="1"/>
  <c r="O274" i="1" s="1"/>
  <c r="J274" i="1"/>
  <c r="K284" i="1"/>
  <c r="O284" i="1" s="1"/>
  <c r="J284" i="1"/>
  <c r="K134" i="1"/>
  <c r="O134" i="1" s="1"/>
  <c r="J134" i="1"/>
  <c r="K365" i="1"/>
  <c r="O365" i="1" s="1"/>
  <c r="J365" i="1"/>
  <c r="K305" i="1"/>
  <c r="O305" i="1" s="1"/>
  <c r="J305" i="1"/>
  <c r="K277" i="1"/>
  <c r="O277" i="1" s="1"/>
  <c r="J277" i="1"/>
  <c r="K57" i="1"/>
  <c r="O57" i="1" s="1"/>
  <c r="J57" i="1"/>
  <c r="K36" i="1"/>
  <c r="O36" i="1" s="1"/>
  <c r="J36" i="1"/>
  <c r="L420" i="1"/>
  <c r="P420" i="1" s="1"/>
  <c r="J420" i="1"/>
  <c r="J360" i="1"/>
  <c r="L360" i="1"/>
  <c r="P360" i="1" s="1"/>
  <c r="J335" i="1"/>
  <c r="L335" i="1"/>
  <c r="P335" i="1" s="1"/>
  <c r="L128" i="1"/>
  <c r="P128" i="1" s="1"/>
  <c r="J128" i="1"/>
  <c r="L232" i="1"/>
  <c r="P232" i="1" s="1"/>
  <c r="J232" i="1"/>
  <c r="L59" i="1"/>
  <c r="P59" i="1" s="1"/>
  <c r="J59" i="1"/>
  <c r="K380" i="1"/>
  <c r="O380" i="1" s="1"/>
  <c r="J380" i="1"/>
  <c r="K58" i="1"/>
  <c r="O58" i="1" s="1"/>
  <c r="J58" i="1"/>
  <c r="K425" i="1"/>
  <c r="O425" i="1" s="1"/>
  <c r="J425" i="1"/>
  <c r="K407" i="1"/>
  <c r="O407" i="1" s="1"/>
  <c r="J407" i="1"/>
  <c r="K321" i="1"/>
  <c r="O321" i="1" s="1"/>
  <c r="J321" i="1"/>
  <c r="K388" i="1"/>
  <c r="O388" i="1" s="1"/>
  <c r="J388" i="1"/>
  <c r="K70" i="1"/>
  <c r="O70" i="1" s="1"/>
  <c r="J70" i="1"/>
  <c r="K97" i="1"/>
  <c r="O97" i="1" s="1"/>
  <c r="J97" i="1"/>
  <c r="K69" i="1"/>
  <c r="O69" i="1" s="1"/>
  <c r="J69" i="1"/>
  <c r="K302" i="1"/>
  <c r="O302" i="1" s="1"/>
  <c r="J302" i="1"/>
  <c r="K192" i="1"/>
  <c r="O192" i="1" s="1"/>
  <c r="J192" i="1"/>
  <c r="K93" i="1"/>
  <c r="O93" i="1" s="1"/>
  <c r="J93" i="1"/>
  <c r="K216" i="1"/>
  <c r="O216" i="1" s="1"/>
  <c r="J216" i="1"/>
  <c r="K214" i="1"/>
  <c r="O214" i="1" s="1"/>
  <c r="J214" i="1"/>
  <c r="K164" i="1"/>
  <c r="O164" i="1" s="1"/>
  <c r="J164" i="1"/>
  <c r="K184" i="1"/>
  <c r="O184" i="1" s="1"/>
  <c r="J184" i="1"/>
  <c r="K276" i="1"/>
  <c r="O276" i="1" s="1"/>
  <c r="J276" i="1"/>
  <c r="K73" i="1"/>
  <c r="O73" i="1" s="1"/>
  <c r="J73" i="1"/>
  <c r="K353" i="1"/>
  <c r="O353" i="1" s="1"/>
  <c r="J353" i="1"/>
  <c r="K280" i="1"/>
  <c r="O280" i="1" s="1"/>
  <c r="J280" i="1"/>
  <c r="K49" i="1"/>
  <c r="O49" i="1" s="1"/>
  <c r="J49" i="1"/>
  <c r="J79" i="1"/>
  <c r="L79" i="1"/>
  <c r="P79" i="1" s="1"/>
  <c r="L122" i="1"/>
  <c r="P122" i="1" s="1"/>
  <c r="J122" i="1"/>
  <c r="L96" i="1"/>
  <c r="P96" i="1" s="1"/>
  <c r="J96" i="1"/>
  <c r="L310" i="1"/>
  <c r="P310" i="1" s="1"/>
  <c r="J310" i="1"/>
  <c r="J129" i="1"/>
  <c r="L129" i="1"/>
  <c r="P129" i="1" s="1"/>
  <c r="J263" i="1"/>
  <c r="L263" i="1"/>
  <c r="P263" i="1" s="1"/>
  <c r="K431" i="1"/>
  <c r="O431" i="1" s="1"/>
  <c r="J431" i="1"/>
  <c r="K314" i="1"/>
  <c r="O314" i="1" s="1"/>
  <c r="J314" i="1"/>
  <c r="K351" i="1"/>
  <c r="O351" i="1" s="1"/>
  <c r="J351" i="1"/>
  <c r="K248" i="1"/>
  <c r="O248" i="1" s="1"/>
  <c r="J248" i="1"/>
  <c r="K151" i="1"/>
  <c r="O151" i="1" s="1"/>
  <c r="J151" i="1"/>
  <c r="K348" i="1"/>
  <c r="O348" i="1" s="1"/>
  <c r="J348" i="1"/>
  <c r="K389" i="1"/>
  <c r="O389" i="1" s="1"/>
  <c r="J389" i="1"/>
  <c r="K124" i="1"/>
  <c r="O124" i="1" s="1"/>
  <c r="J124" i="1"/>
  <c r="K259" i="1"/>
  <c r="O259" i="1" s="1"/>
  <c r="J259" i="1"/>
  <c r="K166" i="1"/>
  <c r="O166" i="1" s="1"/>
  <c r="J166" i="1"/>
  <c r="K252" i="1"/>
  <c r="O252" i="1" s="1"/>
  <c r="J252" i="1"/>
  <c r="K17" i="1"/>
  <c r="O17" i="1" s="1"/>
  <c r="J17" i="1"/>
  <c r="K247" i="1"/>
  <c r="O247" i="1" s="1"/>
  <c r="J247" i="1"/>
  <c r="K55" i="1"/>
  <c r="O55" i="1" s="1"/>
  <c r="J55" i="1"/>
  <c r="J415" i="1"/>
  <c r="K28" i="1"/>
  <c r="O28" i="1" s="1"/>
  <c r="J28" i="1"/>
  <c r="K75" i="1"/>
  <c r="O75" i="1" s="1"/>
  <c r="J75" i="1"/>
  <c r="J111" i="1"/>
  <c r="K111" i="1"/>
  <c r="O111" i="1" s="1"/>
  <c r="J159" i="1"/>
  <c r="K159" i="1"/>
  <c r="O159" i="1" s="1"/>
  <c r="J198" i="1"/>
  <c r="K198" i="1"/>
  <c r="O198" i="1" s="1"/>
  <c r="J23" i="1"/>
  <c r="K23" i="1"/>
  <c r="O23" i="1" s="1"/>
  <c r="K6" i="1"/>
  <c r="K333" i="1"/>
  <c r="O333" i="1" s="1"/>
  <c r="J333" i="1"/>
  <c r="J68" i="1"/>
  <c r="K68" i="1"/>
  <c r="O68" i="1" s="1"/>
  <c r="K109" i="1"/>
  <c r="O109" i="1" s="1"/>
  <c r="J109" i="1"/>
  <c r="K146" i="1"/>
  <c r="O146" i="1" s="1"/>
  <c r="J146" i="1"/>
  <c r="K197" i="1"/>
  <c r="O197" i="1" s="1"/>
  <c r="J197" i="1"/>
  <c r="K221" i="1"/>
  <c r="O221" i="1" s="1"/>
  <c r="J221" i="1"/>
  <c r="J46" i="1"/>
  <c r="K46" i="1"/>
  <c r="O46" i="1" s="1"/>
  <c r="K80" i="1"/>
  <c r="O80" i="1" s="1"/>
  <c r="J80" i="1"/>
  <c r="K113" i="1"/>
  <c r="O113" i="1" s="1"/>
  <c r="J113" i="1"/>
  <c r="K160" i="1"/>
  <c r="O160" i="1" s="1"/>
  <c r="J160" i="1"/>
  <c r="J207" i="1"/>
  <c r="K207" i="1"/>
  <c r="O207" i="1" s="1"/>
  <c r="J51" i="1"/>
  <c r="K51" i="1"/>
  <c r="O51" i="1" s="1"/>
  <c r="J94" i="1"/>
  <c r="K94" i="1"/>
  <c r="O94" i="1" s="1"/>
  <c r="K121" i="1"/>
  <c r="O121" i="1" s="1"/>
  <c r="J121" i="1"/>
  <c r="J162" i="1"/>
  <c r="K162" i="1"/>
  <c r="O162" i="1" s="1"/>
  <c r="K18" i="1"/>
  <c r="O18" i="1" s="1"/>
  <c r="J18" i="1"/>
  <c r="J3" i="1"/>
  <c r="K3" i="1"/>
  <c r="O3" i="1" s="1"/>
  <c r="K53" i="1"/>
  <c r="O53" i="1" s="1"/>
  <c r="J53" i="1"/>
  <c r="K107" i="1"/>
  <c r="O107" i="1" s="1"/>
  <c r="J107" i="1"/>
  <c r="K131" i="1"/>
  <c r="O131" i="1" s="1"/>
  <c r="J131" i="1"/>
  <c r="K165" i="1"/>
  <c r="O165" i="1" s="1"/>
  <c r="J165" i="1"/>
  <c r="J218" i="1"/>
  <c r="K218" i="1"/>
  <c r="O218" i="1" s="1"/>
  <c r="J19" i="1"/>
  <c r="K19" i="1"/>
  <c r="O19" i="1" s="1"/>
  <c r="K87" i="1"/>
  <c r="O87" i="1" s="1"/>
  <c r="J87" i="1"/>
  <c r="J112" i="1"/>
  <c r="K112" i="1"/>
  <c r="O112" i="1" s="1"/>
  <c r="K156" i="1"/>
  <c r="O156" i="1" s="1"/>
  <c r="J156" i="1"/>
  <c r="K199" i="1"/>
  <c r="O199" i="1" s="1"/>
  <c r="J199" i="1"/>
  <c r="K16" i="1"/>
  <c r="O16" i="1" s="1"/>
  <c r="J16" i="1"/>
  <c r="J177" i="1"/>
  <c r="K177" i="1"/>
  <c r="O177" i="1" s="1"/>
  <c r="K15" i="1"/>
  <c r="O15" i="1" s="1"/>
  <c r="J15" i="1"/>
  <c r="K90" i="1"/>
  <c r="O90" i="1" s="1"/>
  <c r="J90" i="1"/>
  <c r="K127" i="1"/>
  <c r="O127" i="1" s="1"/>
  <c r="J127" i="1"/>
  <c r="J172" i="1"/>
  <c r="K172" i="1"/>
  <c r="O172" i="1" s="1"/>
  <c r="J215" i="1"/>
  <c r="K215" i="1"/>
  <c r="O215" i="1" s="1"/>
  <c r="K14" i="1"/>
  <c r="O14" i="1" s="1"/>
  <c r="J14" i="1"/>
  <c r="J72" i="1"/>
  <c r="K72" i="1"/>
  <c r="O72" i="1" s="1"/>
  <c r="K110" i="1"/>
  <c r="O110" i="1" s="1"/>
  <c r="J110" i="1"/>
  <c r="K152" i="1"/>
  <c r="O152" i="1" s="1"/>
  <c r="J152" i="1"/>
  <c r="J196" i="1"/>
  <c r="K196" i="1"/>
  <c r="O196" i="1" s="1"/>
  <c r="J226" i="1"/>
  <c r="K226" i="1"/>
  <c r="O226" i="1" s="1"/>
  <c r="J21" i="1"/>
  <c r="K21" i="1"/>
  <c r="J34" i="1"/>
  <c r="K34" i="1"/>
  <c r="O34" i="1" s="1"/>
  <c r="K101" i="1"/>
  <c r="O101" i="1" s="1"/>
  <c r="J101" i="1"/>
  <c r="J133" i="1"/>
  <c r="K133" i="1"/>
  <c r="O133" i="1" s="1"/>
  <c r="K194" i="1"/>
  <c r="O194" i="1" s="1"/>
  <c r="J194" i="1"/>
  <c r="J211" i="1"/>
  <c r="K211" i="1"/>
  <c r="O211" i="1" s="1"/>
  <c r="K224" i="1"/>
  <c r="O224" i="1" s="1"/>
  <c r="J224" i="1"/>
  <c r="J48" i="1"/>
  <c r="K48" i="1"/>
  <c r="O48" i="1" s="1"/>
  <c r="J88" i="1"/>
  <c r="K88" i="1"/>
  <c r="O88" i="1" s="1"/>
  <c r="J126" i="1"/>
  <c r="K126" i="1"/>
  <c r="O126" i="1" s="1"/>
  <c r="K161" i="1"/>
  <c r="O161" i="1" s="1"/>
  <c r="J161" i="1"/>
  <c r="K202" i="1"/>
  <c r="O202" i="1" s="1"/>
  <c r="J202" i="1"/>
  <c r="J50" i="1"/>
  <c r="K50" i="1"/>
  <c r="O50" i="1" s="1"/>
  <c r="K11" i="1"/>
  <c r="O11" i="1" s="1"/>
  <c r="J11" i="1"/>
  <c r="J52" i="1"/>
  <c r="K52" i="1"/>
  <c r="O52" i="1" s="1"/>
  <c r="J102" i="1"/>
  <c r="K102" i="1"/>
  <c r="O102" i="1" s="1"/>
  <c r="J145" i="1"/>
  <c r="K145" i="1"/>
  <c r="O145" i="1" s="1"/>
  <c r="J169" i="1"/>
  <c r="K169" i="1"/>
  <c r="O169" i="1" s="1"/>
  <c r="J210" i="1"/>
  <c r="K210" i="1"/>
  <c r="O210" i="1" s="1"/>
  <c r="K116" i="1"/>
  <c r="O116" i="1" s="1"/>
  <c r="J116" i="1"/>
  <c r="K416" i="1"/>
  <c r="O416" i="1" s="1"/>
  <c r="J416" i="1"/>
  <c r="K47" i="1"/>
  <c r="O47" i="1" s="1"/>
  <c r="J47" i="1"/>
  <c r="K384" i="1"/>
  <c r="O384" i="1" s="1"/>
  <c r="J384" i="1"/>
  <c r="K140" i="1"/>
  <c r="O140" i="1" s="1"/>
  <c r="J140" i="1"/>
  <c r="K148" i="1"/>
  <c r="O148" i="1" s="1"/>
  <c r="J148" i="1"/>
  <c r="K63" i="1"/>
  <c r="O63" i="1" s="1"/>
  <c r="J63" i="1"/>
  <c r="K355" i="1"/>
  <c r="O355" i="1" s="1"/>
  <c r="J355" i="1"/>
  <c r="K377" i="1"/>
  <c r="O377" i="1" s="1"/>
  <c r="J377" i="1"/>
  <c r="K193" i="1"/>
  <c r="O193" i="1" s="1"/>
  <c r="J193" i="1"/>
  <c r="K394" i="1"/>
  <c r="O394" i="1" s="1"/>
  <c r="J394" i="1"/>
  <c r="K188" i="1"/>
  <c r="O188" i="1" s="1"/>
  <c r="J188" i="1"/>
  <c r="K181" i="1"/>
  <c r="O181" i="1" s="1"/>
  <c r="J181" i="1"/>
  <c r="O432" i="1"/>
  <c r="K267" i="1"/>
  <c r="O267" i="1" s="1"/>
  <c r="J267" i="1"/>
  <c r="K260" i="1"/>
  <c r="O260" i="1" s="1"/>
  <c r="J260" i="1"/>
  <c r="K426" i="1"/>
  <c r="O426" i="1" s="1"/>
  <c r="J426" i="1"/>
  <c r="K157" i="1"/>
  <c r="O157" i="1" s="1"/>
  <c r="J157" i="1"/>
  <c r="K290" i="1"/>
  <c r="O290" i="1" s="1"/>
  <c r="J290" i="1"/>
  <c r="L307" i="1"/>
  <c r="P307" i="1" s="1"/>
  <c r="J307" i="1"/>
  <c r="J67" i="1"/>
  <c r="L67" i="1"/>
  <c r="P67" i="1" s="1"/>
  <c r="J91" i="1"/>
  <c r="L91" i="1"/>
  <c r="P91" i="1" s="1"/>
  <c r="L147" i="1"/>
  <c r="P147" i="1" s="1"/>
  <c r="J147" i="1"/>
  <c r="L191" i="1"/>
  <c r="P191" i="1" s="1"/>
  <c r="J191" i="1"/>
  <c r="L272" i="1"/>
  <c r="P272" i="1" s="1"/>
  <c r="J272" i="1"/>
  <c r="L354" i="1"/>
  <c r="P354" i="1" s="1"/>
  <c r="J354" i="1"/>
  <c r="L98" i="1"/>
  <c r="P98" i="1" s="1"/>
  <c r="J98" i="1"/>
  <c r="L322" i="1"/>
  <c r="P322" i="1" s="1"/>
  <c r="J322" i="1"/>
  <c r="L271" i="1"/>
  <c r="P271" i="1" s="1"/>
  <c r="J271" i="1"/>
  <c r="J149" i="1"/>
  <c r="L149" i="1"/>
  <c r="P149" i="1" s="1"/>
  <c r="J225" i="1"/>
  <c r="L225" i="1"/>
  <c r="P225" i="1" s="1"/>
  <c r="J163" i="1"/>
  <c r="L163" i="1"/>
  <c r="P163" i="1" s="1"/>
  <c r="L206" i="1"/>
  <c r="P206" i="1" s="1"/>
  <c r="J206" i="1"/>
  <c r="J200" i="1"/>
  <c r="L200" i="1"/>
  <c r="P200" i="1" s="1"/>
  <c r="J317" i="1"/>
  <c r="L317" i="1"/>
  <c r="P317" i="1" s="1"/>
  <c r="L289" i="1"/>
  <c r="P289" i="1" s="1"/>
  <c r="J289" i="1"/>
  <c r="J56" i="1"/>
  <c r="L56" i="1"/>
  <c r="P56" i="1" s="1"/>
  <c r="J361" i="1"/>
  <c r="L361" i="1"/>
  <c r="P361" i="1" s="1"/>
  <c r="L71" i="1"/>
  <c r="P71" i="1" s="1"/>
  <c r="J71" i="1"/>
  <c r="L100" i="1"/>
  <c r="P100" i="1" s="1"/>
  <c r="J100" i="1"/>
  <c r="K414" i="1"/>
  <c r="O414" i="1" s="1"/>
  <c r="J414" i="1"/>
  <c r="K410" i="1"/>
  <c r="O410" i="1" s="1"/>
  <c r="J410" i="1"/>
  <c r="K318" i="1"/>
  <c r="O318" i="1" s="1"/>
  <c r="J318" i="1"/>
  <c r="K86" i="1"/>
  <c r="O86" i="1" s="1"/>
  <c r="J86" i="1"/>
  <c r="K61" i="1"/>
  <c r="O61" i="1" s="1"/>
  <c r="J61" i="1"/>
  <c r="K60" i="1"/>
  <c r="O60" i="1" s="1"/>
  <c r="J60" i="1"/>
  <c r="K54" i="1"/>
  <c r="O54" i="1" s="1"/>
  <c r="J54" i="1"/>
  <c r="K153" i="1"/>
  <c r="O153" i="1" s="1"/>
  <c r="J153" i="1"/>
  <c r="K363" i="1"/>
  <c r="O363" i="1" s="1"/>
  <c r="J363" i="1"/>
  <c r="K323" i="1"/>
  <c r="O323" i="1" s="1"/>
  <c r="J323" i="1"/>
  <c r="K103" i="1"/>
  <c r="O103" i="1" s="1"/>
  <c r="J103" i="1"/>
  <c r="K213" i="1"/>
  <c r="O213" i="1" s="1"/>
  <c r="J213" i="1"/>
  <c r="K212" i="1"/>
  <c r="O212" i="1" s="1"/>
  <c r="J212" i="1"/>
  <c r="K178" i="1"/>
  <c r="O178" i="1" s="1"/>
  <c r="J178" i="1"/>
  <c r="K434" i="1"/>
  <c r="O434" i="1" s="1"/>
  <c r="J434" i="1"/>
  <c r="K241" i="1"/>
  <c r="O241" i="1" s="1"/>
  <c r="J241" i="1"/>
  <c r="K266" i="1"/>
  <c r="O266" i="1" s="1"/>
  <c r="J266" i="1"/>
  <c r="K167" i="1"/>
  <c r="O167" i="1" s="1"/>
  <c r="J167" i="1"/>
  <c r="K187" i="1"/>
  <c r="O187" i="1" s="1"/>
  <c r="J187" i="1"/>
  <c r="K320" i="1"/>
  <c r="O320" i="1" s="1"/>
  <c r="J320" i="1"/>
  <c r="K330" i="1"/>
  <c r="O330" i="1" s="1"/>
  <c r="J330" i="1"/>
  <c r="K26" i="1"/>
  <c r="O26" i="1" s="1"/>
  <c r="J26" i="1"/>
  <c r="K20" i="1"/>
  <c r="O20" i="1" s="1"/>
  <c r="J20" i="1"/>
  <c r="K374" i="1"/>
  <c r="O374" i="1" s="1"/>
  <c r="J374" i="1"/>
  <c r="K319" i="1"/>
  <c r="O319" i="1" s="1"/>
  <c r="J319" i="1"/>
  <c r="J435" i="1"/>
  <c r="L435" i="1"/>
  <c r="P435" i="1" s="1"/>
  <c r="L433" i="1"/>
  <c r="P433" i="1" s="1"/>
  <c r="J433" i="1"/>
  <c r="J390" i="1"/>
  <c r="L390" i="1"/>
  <c r="P390" i="1" s="1"/>
  <c r="J24" i="1"/>
  <c r="L24" i="1"/>
  <c r="P24" i="1" s="1"/>
  <c r="L106" i="1"/>
  <c r="P106" i="1" s="1"/>
  <c r="J106" i="1"/>
  <c r="J195" i="1"/>
  <c r="L195" i="1"/>
  <c r="P195" i="1" s="1"/>
  <c r="J33" i="1"/>
  <c r="L33" i="1"/>
  <c r="P33" i="1" s="1"/>
  <c r="L358" i="1"/>
  <c r="P358" i="1" s="1"/>
  <c r="J358" i="1"/>
  <c r="J10" i="1"/>
  <c r="L10" i="1"/>
  <c r="P10" i="1" s="1"/>
  <c r="J299" i="1"/>
  <c r="L299" i="1"/>
  <c r="P299" i="1" s="1"/>
  <c r="J217" i="1"/>
  <c r="L217" i="1"/>
  <c r="P217" i="1" s="1"/>
  <c r="J367" i="1"/>
  <c r="L367" i="1"/>
  <c r="P367" i="1" s="1"/>
  <c r="J238" i="1"/>
  <c r="L238" i="1"/>
  <c r="P238" i="1" s="1"/>
  <c r="L287" i="1"/>
  <c r="P287" i="1" s="1"/>
  <c r="J287" i="1"/>
  <c r="L154" i="1"/>
  <c r="P154" i="1" s="1"/>
  <c r="J154" i="1"/>
  <c r="L27" i="1"/>
  <c r="P27" i="1" s="1"/>
  <c r="J27" i="1"/>
  <c r="J175" i="1"/>
  <c r="L175" i="1"/>
  <c r="P175" i="1" s="1"/>
  <c r="L115" i="1"/>
  <c r="P115" i="1" s="1"/>
  <c r="J115" i="1"/>
  <c r="J123" i="1"/>
  <c r="L123" i="1"/>
  <c r="P123" i="1" s="1"/>
  <c r="J342" i="1"/>
  <c r="L342" i="1"/>
  <c r="P342" i="1" s="1"/>
  <c r="J25" i="1"/>
  <c r="L25" i="1"/>
  <c r="P25" i="1" s="1"/>
  <c r="K427" i="1"/>
  <c r="J427" i="1"/>
  <c r="K422" i="1"/>
  <c r="O422" i="1" s="1"/>
  <c r="J422" i="1"/>
  <c r="K83" i="1"/>
  <c r="O83" i="1" s="1"/>
  <c r="J83" i="1"/>
  <c r="K419" i="1"/>
  <c r="O419" i="1" s="1"/>
  <c r="J419" i="1"/>
  <c r="K22" i="1"/>
  <c r="O22" i="1" s="1"/>
  <c r="J22" i="1"/>
  <c r="K35" i="1"/>
  <c r="O35" i="1" s="1"/>
  <c r="J35" i="1"/>
  <c r="K413" i="1"/>
  <c r="O413" i="1" s="1"/>
  <c r="J413" i="1"/>
  <c r="K343" i="1"/>
  <c r="O343" i="1" s="1"/>
  <c r="J343" i="1"/>
  <c r="K347" i="1"/>
  <c r="O347" i="1" s="1"/>
  <c r="J347" i="1"/>
  <c r="K64" i="1"/>
  <c r="O64" i="1" s="1"/>
  <c r="J64" i="1"/>
  <c r="K391" i="1"/>
  <c r="O391" i="1" s="1"/>
  <c r="J391" i="1"/>
  <c r="K105" i="1"/>
  <c r="O105" i="1" s="1"/>
  <c r="J105" i="1"/>
  <c r="K383" i="1"/>
  <c r="O383" i="1" s="1"/>
  <c r="J383" i="1"/>
  <c r="K77" i="1"/>
  <c r="O77" i="1" s="1"/>
  <c r="J77" i="1"/>
  <c r="K78" i="1"/>
  <c r="O78" i="1" s="1"/>
  <c r="J78" i="1"/>
  <c r="K45" i="1"/>
  <c r="O45" i="1" s="1"/>
  <c r="J45" i="1"/>
  <c r="K308" i="1"/>
  <c r="O308" i="1" s="1"/>
  <c r="J308" i="1"/>
  <c r="K243" i="1"/>
  <c r="O243" i="1" s="1"/>
  <c r="J243" i="1"/>
  <c r="K296" i="1"/>
  <c r="O296" i="1" s="1"/>
  <c r="J296" i="1"/>
  <c r="K242" i="1"/>
  <c r="O242" i="1" s="1"/>
  <c r="J242" i="1"/>
  <c r="K356" i="1"/>
  <c r="O356" i="1" s="1"/>
  <c r="J356" i="1"/>
  <c r="K244" i="1"/>
  <c r="O244" i="1" s="1"/>
  <c r="J244" i="1"/>
  <c r="K261" i="1"/>
  <c r="O261" i="1" s="1"/>
  <c r="J261" i="1"/>
  <c r="K170" i="1"/>
  <c r="O170" i="1" s="1"/>
  <c r="J170" i="1"/>
  <c r="K138" i="1"/>
  <c r="O138" i="1" s="1"/>
  <c r="J138" i="1"/>
  <c r="K223" i="1"/>
  <c r="O223" i="1" s="1"/>
  <c r="J223" i="1"/>
  <c r="K108" i="1"/>
  <c r="O108" i="1" s="1"/>
  <c r="J108" i="1"/>
  <c r="K398" i="1"/>
  <c r="O398" i="1" s="1"/>
  <c r="J398" i="1"/>
  <c r="K337" i="1"/>
  <c r="O337" i="1" s="1"/>
  <c r="J337" i="1"/>
  <c r="L41" i="1"/>
  <c r="P41" i="1" s="1"/>
  <c r="J41" i="1"/>
  <c r="L359" i="1"/>
  <c r="P359" i="1" s="1"/>
  <c r="J359" i="1"/>
  <c r="L382" i="1"/>
  <c r="P382" i="1" s="1"/>
  <c r="J382" i="1"/>
  <c r="J74" i="1"/>
  <c r="L74" i="1"/>
  <c r="P74" i="1" s="1"/>
  <c r="J371" i="1"/>
  <c r="L371" i="1"/>
  <c r="P371" i="1" s="1"/>
  <c r="L340" i="1"/>
  <c r="P340" i="1" s="1"/>
  <c r="J340" i="1"/>
  <c r="L327" i="1"/>
  <c r="P327" i="1" s="1"/>
  <c r="J327" i="1"/>
  <c r="L273" i="1"/>
  <c r="P273" i="1" s="1"/>
  <c r="J273" i="1"/>
  <c r="L189" i="1"/>
  <c r="P189" i="1" s="1"/>
  <c r="J189" i="1"/>
  <c r="J141" i="1"/>
  <c r="L141" i="1"/>
  <c r="P141" i="1" s="1"/>
  <c r="L203" i="1"/>
  <c r="P203" i="1" s="1"/>
  <c r="J203" i="1"/>
  <c r="L39" i="1"/>
  <c r="P39" i="1" s="1"/>
  <c r="J39" i="1"/>
  <c r="L304" i="1"/>
  <c r="P304" i="1" s="1"/>
  <c r="J304" i="1"/>
  <c r="L316" i="1"/>
  <c r="P316" i="1" s="1"/>
  <c r="J316" i="1"/>
  <c r="J82" i="1"/>
  <c r="L82" i="1"/>
  <c r="P82" i="1" s="1"/>
  <c r="L334" i="1"/>
  <c r="P334" i="1" s="1"/>
  <c r="J334" i="1"/>
  <c r="L81" i="1"/>
  <c r="P81" i="1" s="1"/>
  <c r="J81" i="1"/>
  <c r="C61" i="3"/>
  <c r="E25" i="3"/>
  <c r="E30" i="3"/>
  <c r="E27" i="3"/>
  <c r="E28" i="3"/>
  <c r="E29" i="3"/>
  <c r="E26" i="3"/>
  <c r="B126" i="3" a="1"/>
  <c r="B101" i="3" a="1"/>
  <c r="D5" i="3" l="1"/>
  <c r="D4" i="3"/>
  <c r="O6" i="1"/>
  <c r="J1" i="1"/>
  <c r="O427" i="1"/>
  <c r="O21" i="1"/>
  <c r="C126" i="3"/>
  <c r="C137" i="3"/>
  <c r="D145" i="3"/>
  <c r="D133" i="3"/>
  <c r="C136" i="3"/>
  <c r="D144" i="3"/>
  <c r="D132" i="3"/>
  <c r="C135" i="3"/>
  <c r="D143" i="3"/>
  <c r="D131" i="3"/>
  <c r="D136" i="3"/>
  <c r="C139" i="3"/>
  <c r="C127" i="3"/>
  <c r="D135" i="3"/>
  <c r="C138" i="3"/>
  <c r="D126" i="3"/>
  <c r="D134" i="3"/>
  <c r="C134" i="3"/>
  <c r="D142" i="3"/>
  <c r="D130" i="3"/>
  <c r="C140" i="3"/>
  <c r="C145" i="3"/>
  <c r="C133" i="3"/>
  <c r="D141" i="3"/>
  <c r="D129" i="3"/>
  <c r="C144" i="3"/>
  <c r="C132" i="3"/>
  <c r="D140" i="3"/>
  <c r="D128" i="3"/>
  <c r="C143" i="3"/>
  <c r="C131" i="3"/>
  <c r="D139" i="3"/>
  <c r="D127" i="3"/>
  <c r="C128" i="3"/>
  <c r="C142" i="3"/>
  <c r="C130" i="3"/>
  <c r="D138" i="3"/>
  <c r="C141" i="3"/>
  <c r="C129" i="3"/>
  <c r="D137" i="3"/>
  <c r="C10" i="3"/>
  <c r="D6" i="3" l="1"/>
  <c r="D124" i="3"/>
  <c r="C124" i="3"/>
  <c r="E142" i="3"/>
  <c r="E132" i="3"/>
  <c r="E130" i="3"/>
  <c r="E127" i="3"/>
  <c r="E145" i="3"/>
  <c r="E133" i="3"/>
  <c r="E135" i="3"/>
  <c r="E144" i="3"/>
  <c r="E136" i="3"/>
  <c r="E140" i="3"/>
  <c r="E126" i="3"/>
  <c r="E137" i="3"/>
  <c r="F126" i="3"/>
  <c r="E134" i="3"/>
  <c r="E143" i="3"/>
  <c r="E141" i="3"/>
  <c r="E129" i="3"/>
  <c r="E128" i="3"/>
  <c r="E138" i="3"/>
  <c r="E131" i="3"/>
  <c r="E139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01" i="3"/>
  <c r="F103" i="3" l="1"/>
  <c r="F112" i="3"/>
  <c r="F106" i="3"/>
  <c r="F118" i="3"/>
  <c r="F109" i="3"/>
  <c r="F117" i="3"/>
  <c r="F105" i="3"/>
  <c r="F115" i="3"/>
  <c r="F104" i="3"/>
  <c r="F114" i="3"/>
  <c r="F101" i="3"/>
  <c r="F107" i="3"/>
  <c r="F116" i="3"/>
  <c r="F110" i="3"/>
  <c r="F119" i="3"/>
  <c r="F108" i="3"/>
  <c r="F111" i="3"/>
  <c r="F120" i="3"/>
  <c r="F102" i="3"/>
  <c r="F113" i="3"/>
  <c r="F99" i="3" l="1"/>
  <c r="H106" i="3"/>
  <c r="F91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D61" i="3"/>
  <c r="F124" i="3" l="1"/>
  <c r="F66" i="3"/>
  <c r="F65" i="3"/>
  <c r="F64" i="3"/>
  <c r="F67" i="3"/>
  <c r="F63" i="3"/>
  <c r="E13" i="3"/>
  <c r="H105" i="3"/>
  <c r="H108" i="3"/>
  <c r="E17" i="3"/>
  <c r="H113" i="3"/>
  <c r="H104" i="3"/>
  <c r="H115" i="3"/>
  <c r="H120" i="3"/>
  <c r="H119" i="3"/>
  <c r="E23" i="3"/>
  <c r="E20" i="3"/>
  <c r="E18" i="3"/>
  <c r="E15" i="3"/>
  <c r="H102" i="3"/>
  <c r="H103" i="3"/>
  <c r="H118" i="3"/>
  <c r="H117" i="3"/>
  <c r="H111" i="3"/>
  <c r="H114" i="3"/>
  <c r="H116" i="3"/>
  <c r="H107" i="3"/>
  <c r="H110" i="3"/>
  <c r="H112" i="3"/>
  <c r="H101" i="3"/>
  <c r="H109" i="3"/>
  <c r="E12" i="3" l="1"/>
  <c r="E21" i="3"/>
  <c r="E22" i="3" l="1"/>
  <c r="E24" i="3"/>
  <c r="E16" i="3"/>
  <c r="E14" i="3"/>
  <c r="E1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<sst xmlns="http://schemas.openxmlformats.org/spreadsheetml/2006/main" count="13195" uniqueCount="1764">
  <si>
    <t>Client</t>
  </si>
  <si>
    <t>OLA ELECTRIC TECHNOLOGIES PRIVATE LIMITED</t>
  </si>
  <si>
    <t>CAMPUS ACTIVEWEAR LIMITED</t>
  </si>
  <si>
    <t>Pickrr Technologies Private Limited</t>
  </si>
  <si>
    <t>RAYMOND LIFESTYLE LIMITED</t>
  </si>
  <si>
    <t>SCHOOL SHOP PRIVATE LIMITED</t>
  </si>
  <si>
    <t>SIGNIFY INNOVATIONS INDIA LIMITED</t>
  </si>
  <si>
    <t>Yolojet Internet Services Private Limited</t>
  </si>
  <si>
    <t>MICRO FOOTWEARS PVT. LTD</t>
  </si>
  <si>
    <t>TRUMOVE SERVICES PRIVATE LIMITED</t>
  </si>
  <si>
    <t>ABROS SPORTS INTERNATIONAL PRIVATE LIMITED</t>
  </si>
  <si>
    <t>Apollo Supply Chain Private Limited</t>
  </si>
  <si>
    <t>HAPPILO INTERNATIONAL PRIVATE LIMITED</t>
  </si>
  <si>
    <t>PUMA SPORTS INDIA PRIVATE LIMITED</t>
  </si>
  <si>
    <t>Dollar Industries Limited</t>
  </si>
  <si>
    <t>Wockhardt Limited</t>
  </si>
  <si>
    <t>ADITYA BIRLA FASHION AND RETAIL LIMITED</t>
  </si>
  <si>
    <t>POWERLOOK APPARELS PRIVATE LIMITED</t>
  </si>
  <si>
    <t>ADIDAS INDIA MARKETING PRIVATE LIMITED</t>
  </si>
  <si>
    <t>PUREPLAY SKIN SCIENCES (INDIA) PRIVATE LIMITED</t>
  </si>
  <si>
    <t>Southern Health Foods Private Limited</t>
  </si>
  <si>
    <t>MODENIK LIFESTYLE PRIVATE LIMITED</t>
  </si>
  <si>
    <t>GODREJ AND BOYCE MANUFACTURING CO LTD.</t>
  </si>
  <si>
    <t>MVIKAS SUPER LOGISTICS PRIVATE LIMITED</t>
  </si>
  <si>
    <t>BOMBAY WHEELS</t>
  </si>
  <si>
    <t>SHREE MARUTI INTEGRATED LOGISTICS LIMITED</t>
  </si>
  <si>
    <t>MOSAIC WELLNESS PRIVATE LIMITED</t>
  </si>
  <si>
    <t>METRO BRANDS LIMITED</t>
  </si>
  <si>
    <t>JQR SPORTS (INDIA) PRIVATE LIMITED</t>
  </si>
  <si>
    <t>AGILITAS BRANDS PRIVATE LIMITED</t>
  </si>
  <si>
    <t>VKC NUTS PRIVATE LIMITED</t>
  </si>
  <si>
    <t>TUAREG MARKETING PRIVATE LIMITED</t>
  </si>
  <si>
    <t>TRANSLOGICS SOLUTIONS</t>
  </si>
  <si>
    <t>BIGSHIP TECHNOLOGIES PRIVATE LIMITED</t>
  </si>
  <si>
    <t>HONASA CONSUMER LIMITED</t>
  </si>
  <si>
    <t>BATA INDIA LIMITED</t>
  </si>
  <si>
    <t>CARRIEMAX EXPRESS</t>
  </si>
  <si>
    <t>S. L .N COFFEE PRIVATE LIMITED</t>
  </si>
  <si>
    <t>BHAIRAVNATH IMPEX</t>
  </si>
  <si>
    <t>YASH SEALS PRIVATE LIMITED</t>
  </si>
  <si>
    <t>HANDY HOME SOLUTIONS PRIVATE LIMITED</t>
  </si>
  <si>
    <t>LITTLE RUNWAYS WHOLESALE PRIVATE LIMITED</t>
  </si>
  <si>
    <t>ROMSONS GROUP PRIVATE LIMITED</t>
  </si>
  <si>
    <t>MERHAKI FOODS AND NUTRITION PRIVATE LIMITED</t>
  </si>
  <si>
    <t>BOLAS AGRO PRIVATE LIMITED</t>
  </si>
  <si>
    <t>GLOBATE 360 SOLUTIONS PRIVATE LIMITED</t>
  </si>
  <si>
    <t>ICARRY TECHNOLOGIES PRIVATE LIMITED</t>
  </si>
  <si>
    <t>Kotty Lifestyle Private Limited</t>
  </si>
  <si>
    <t>ATMOS CARE PRIVATE LIMITED</t>
  </si>
  <si>
    <t>Holistique Beauty Products Private Limited</t>
  </si>
  <si>
    <t>KARCHER CLEANING SYSTEMS PRIVATE LIMITED</t>
  </si>
  <si>
    <t>SAVEX TECHNOLOGIES PRIVATE LIMITED</t>
  </si>
  <si>
    <t>CREATIVE GALILEO EDTECH PRIVATE LIMITED</t>
  </si>
  <si>
    <t>Xiaomi Technology India Private Limited</t>
  </si>
  <si>
    <t>MIDLINKERZ PRIVATE LIMITED</t>
  </si>
  <si>
    <t>KMCR SOLUTIONS (OPC) PRIVATE LIMITED</t>
  </si>
  <si>
    <t>FASHOR LIFESTYLE PRIVATE LIMITED</t>
  </si>
  <si>
    <t>DAS FOODTECH PRIVATE LIMITED</t>
  </si>
  <si>
    <t>ADL INTERNATIONAL</t>
  </si>
  <si>
    <t>RADHAMANI TEXTILES PRIVATE LIMITED</t>
  </si>
  <si>
    <t>DUVAL ENTERPRISES PRIVATE LIMITED</t>
  </si>
  <si>
    <t>JK GYPSUM PRIVATE LIMITED</t>
  </si>
  <si>
    <t>Campussutra Retail Private Limited</t>
  </si>
  <si>
    <t>AWESOMEFAB SHOPPING PRIVATE LIMITED</t>
  </si>
  <si>
    <t>STREET NINE FASHIONS PRIVATE LIMITED</t>
  </si>
  <si>
    <t>ShipShopy Private Limited</t>
  </si>
  <si>
    <t>SUNLIGHT SPORTS PRIVATE LIMITED</t>
  </si>
  <si>
    <t>PRATYAYA E-COMMERCE PRIVATE LIMITED</t>
  </si>
  <si>
    <t>Samara Retail India Private Limited</t>
  </si>
  <si>
    <t>Damensch Apparel Private Limited</t>
  </si>
  <si>
    <t>SANKETHI NUTRIMENTS PRIVATE LIMITED</t>
  </si>
  <si>
    <t>LUX INDUSTRIES LIMITED</t>
  </si>
  <si>
    <t>Gracious Logistics and Warehouse Private Limited</t>
  </si>
  <si>
    <t>IMAGINE MARKETING LIMITED</t>
  </si>
  <si>
    <t>DUKE FASHION INDIA LTD</t>
  </si>
  <si>
    <t>KUTCHINA HOME MAKERS PRIVATE LIMITED</t>
  </si>
  <si>
    <t>KORES INDIA LIMITED</t>
  </si>
  <si>
    <t>INNOVENT E-COM LLP</t>
  </si>
  <si>
    <t>CULTSPORT PRIVATE LIMITED</t>
  </si>
  <si>
    <t>SHREE KARNI KRIPAA ENTERPRISES</t>
  </si>
  <si>
    <t>Affinity Global Services</t>
  </si>
  <si>
    <t>HOLAPORT LOGISTICS PRIVATE LIMITED</t>
  </si>
  <si>
    <t>COFFEE DAY GLOBAL LIMITED</t>
  </si>
  <si>
    <t>BRIGHT LIFECARE PRIVATE LIMITED</t>
  </si>
  <si>
    <t>STYLE WAVES LLP</t>
  </si>
  <si>
    <t>ACEFOUR ACCESSORIES PRIVATE LIMITED</t>
  </si>
  <si>
    <t>LILY INDIA PRIVATE LIMITED</t>
  </si>
  <si>
    <t>PICK SPEED EXPRESS AND LOGISTICS PRIVATE LIMITED</t>
  </si>
  <si>
    <t>SHIPPING IMPERIO PRIVATE LIMITED</t>
  </si>
  <si>
    <t>CREDO BRANDS MARKETING LIMITED</t>
  </si>
  <si>
    <t>AAJ SUPPLY CHAIN MANAGEMENT PRIVATE LIMITED</t>
  </si>
  <si>
    <t>COOKD VENTURES PRIVATE LIMITED</t>
  </si>
  <si>
    <t>EARTH CRUST PRIVATE LIMITED</t>
  </si>
  <si>
    <t>SCHNEIDER ELECTRIC INDIA PRIVATE LIMITED</t>
  </si>
  <si>
    <t>H K DATA SERVICES PRIVATE LIMITED</t>
  </si>
  <si>
    <t>INDIEJEWEL FASHIONS PRIVATE LIMITED</t>
  </si>
  <si>
    <t>VASTRAMAY PRIVATE LIMITED</t>
  </si>
  <si>
    <t>OLBUIZ LOGISTICS PRIVATE LIMITED</t>
  </si>
  <si>
    <t>Kalyr Retail Private Limited</t>
  </si>
  <si>
    <t>PRAKASH ENTERPRISES</t>
  </si>
  <si>
    <t>ROYALE EXPRESS AND LOGISTICS</t>
  </si>
  <si>
    <t>INKODOP TECHNOLOGIES PRIVATE LIMITED</t>
  </si>
  <si>
    <t>PIN POINT SALES LLP</t>
  </si>
  <si>
    <t>RESILIENT INNOVATIONS PRIVATE LIMITED</t>
  </si>
  <si>
    <t>GOSPRINT LOGISTlCS PRIVATE LIMITED</t>
  </si>
  <si>
    <t>INDO COUNT INDUSTRIES LIMITED</t>
  </si>
  <si>
    <t>PRANAY SABOO</t>
  </si>
  <si>
    <t>J3J ECOM PRIVATE LIMITED</t>
  </si>
  <si>
    <t>HIMALAYA WELLNESS COMPANY</t>
  </si>
  <si>
    <t>SHREE BALAJEE HOME PRODUCTS PRIVATE LIMITED</t>
  </si>
  <si>
    <t>SNRN Digital Services Private Limited</t>
  </si>
  <si>
    <t>PEORA FASHIONS PRIVATE LIMITED</t>
  </si>
  <si>
    <t>SKB FOOD PRODUCTS PRIVATE LIMITED</t>
  </si>
  <si>
    <t>Univision Foods Private Limited</t>
  </si>
  <si>
    <t>MNM Polymers</t>
  </si>
  <si>
    <t>XCELL SUPPLY CHAIN SOLUTIONS PRIVATE LIMITED</t>
  </si>
  <si>
    <t>DEVYSUN SALES &amp; DISTRIBUTION PRIVATE LIMITED</t>
  </si>
  <si>
    <t>Reset Supply Chain Private Limited</t>
  </si>
  <si>
    <t>UBER FASHION MERCHANDISE PRIVATE LIMITED</t>
  </si>
  <si>
    <t>SUDHIR AUTOMOTIVE INDUSTRIES PRIVATE LIMITED</t>
  </si>
  <si>
    <t>Little Nap Designs Private Limited</t>
  </si>
  <si>
    <t>ODDITY HEALTHCARE PRIVATE LIMITED</t>
  </si>
  <si>
    <t>MANGLA APPARELS INDIA PRIVATE LIMITED</t>
  </si>
  <si>
    <t>SPYKAR LIFESTYLES PRIVATE LIMITED</t>
  </si>
  <si>
    <t>Aditya Birla Digital Fashion Ventures Limited</t>
  </si>
  <si>
    <t>SESHAASAI TECHNOLOGIES LIMITED</t>
  </si>
  <si>
    <t>MIDVISION PRIVATE LIMITED</t>
  </si>
  <si>
    <t>Ashana Enterprises Private Limited</t>
  </si>
  <si>
    <t>J G HOSIERY PRIVATE LIMITED</t>
  </si>
  <si>
    <t>ABHAY TECHNO SERVICES PRIVATE LIMITED</t>
  </si>
  <si>
    <t>DABSTER INTERNATIONAL PRIVATE LIMITED</t>
  </si>
  <si>
    <t>Proelium Learning Solutions Private Limited</t>
  </si>
  <si>
    <t>UNI INDO INTERNATIONAL EXPRESS</t>
  </si>
  <si>
    <t>RATAN AYURVEDIC SANSTHAN</t>
  </si>
  <si>
    <t>SYNFOCOM SYSTEMS LLP</t>
  </si>
  <si>
    <t>SELLOCLOUD TECHNOLOGY PRIVATE LIMITED</t>
  </si>
  <si>
    <t>PEPING COMMERCE PRIVATE LIMITED</t>
  </si>
  <si>
    <t>JAGDAMBA CUTLERY LIMITED</t>
  </si>
  <si>
    <t>ALPINO HEALTH FOODS PRIVATE LIMITED</t>
  </si>
  <si>
    <t>ZIRISE TECHNOLOGIES PRIVATE LIMITED</t>
  </si>
  <si>
    <t>B2B CARGOWALE PRIVATE LIMITED</t>
  </si>
  <si>
    <t>K.P. LEATHER ASSOCIATES</t>
  </si>
  <si>
    <t>SHIPDOCKETS PRIVATE LIMITED</t>
  </si>
  <si>
    <t>OVERHAUL SOLUTIONS PRIVATE LIMITED</t>
  </si>
  <si>
    <t>GINODIA INDUSTRIES PRIVATE LIMITED</t>
  </si>
  <si>
    <t>Sane Retails Private Limited</t>
  </si>
  <si>
    <t>MOULSHREE IMPEX</t>
  </si>
  <si>
    <t>6HEIGHT TRANS SOLUTIONS PRIVATE LIMITED</t>
  </si>
  <si>
    <t>Wellversed Health Private Limited</t>
  </si>
  <si>
    <t>STUDDS ACCESSORIES LIMITED</t>
  </si>
  <si>
    <t>SIGMA OVERSEAS</t>
  </si>
  <si>
    <t>Fortune Marketing Private Limited</t>
  </si>
  <si>
    <t>VSM LOGISTICS</t>
  </si>
  <si>
    <t>SPENCER'S RETAIL LIMITED</t>
  </si>
  <si>
    <t>HAMILTON SCIENCES PRIVATE LIMITED</t>
  </si>
  <si>
    <t>LOGISTOS TECHNOLOGY PRIVATE LIMITED</t>
  </si>
  <si>
    <t>ITHINK LOGISTIC QUICK SERVICES PRIVATE LIMITED</t>
  </si>
  <si>
    <t>OSG LOGISTICS</t>
  </si>
  <si>
    <t>FAM HOME</t>
  </si>
  <si>
    <t>SCRAFT UNIWORLD HYGIENE (OPC) PRIVATE LIMITED</t>
  </si>
  <si>
    <t>Lighthouse Learning Private Limited</t>
  </si>
  <si>
    <t>WINNI RETAILS PRIVATE LIMITED</t>
  </si>
  <si>
    <t>PIK-UP LOGISTICS</t>
  </si>
  <si>
    <t>Ishvi Food Private Limited</t>
  </si>
  <si>
    <t>SPEEDFOX SOLUTIONS LLP</t>
  </si>
  <si>
    <t>OXYS BEAUTY PRIVATE LIMITED</t>
  </si>
  <si>
    <t>TEJAS CARGO CARRIERS</t>
  </si>
  <si>
    <t>THOR DISTRIBUTORS</t>
  </si>
  <si>
    <t>RAW HIMALAYAS</t>
  </si>
  <si>
    <t>Arvind Lifestyle Brands Limited</t>
  </si>
  <si>
    <t>TENSOR LOGISTICS PRIVATE LIMITED</t>
  </si>
  <si>
    <t>STATUS QUO LIFESTYLE CO</t>
  </si>
  <si>
    <t>UP TO DATE PRODUCTS</t>
  </si>
  <si>
    <t>CELLO WORLD LIMITED</t>
  </si>
  <si>
    <t>REDTAPE LIMITED</t>
  </si>
  <si>
    <t>OM INTERNATIOPNAL</t>
  </si>
  <si>
    <t>RENEE COSMETICS PRIVATE LIMITED</t>
  </si>
  <si>
    <t>SN Life Sciences &amp; Technologies</t>
  </si>
  <si>
    <t>GLADPACK</t>
  </si>
  <si>
    <t>Shipclues Technologies Private Limited</t>
  </si>
  <si>
    <t>SHYPBUDDY INDIA PRIVATE LIMITED</t>
  </si>
  <si>
    <t>INDIAN TERRAIN FASHIONS LIMITED</t>
  </si>
  <si>
    <t>HD ENTERPRISE</t>
  </si>
  <si>
    <t>Monte Carlo Fashions Limited</t>
  </si>
  <si>
    <t>OPEN SOURCE BUSINESS SOLUTIONS PRIVATE LIMITED</t>
  </si>
  <si>
    <t>Shivam Incorporation</t>
  </si>
  <si>
    <t>TT Limited</t>
  </si>
  <si>
    <t>B K SHAH CORPORATION</t>
  </si>
  <si>
    <t>ALLUVIUM RETAIL LLP</t>
  </si>
  <si>
    <t>AVN BUSINESS SOLUTIONS PRIVATE LIMITED</t>
  </si>
  <si>
    <t>TradeFT Enterprises</t>
  </si>
  <si>
    <t>CREDENT CONNECT N CARE PRIVATE LIMITED</t>
  </si>
  <si>
    <t>THE WOOD WHITE INDIA</t>
  </si>
  <si>
    <t>AGNIRA LOGISTICS PRIVATE LIMITED</t>
  </si>
  <si>
    <t>AIRMAIL EXPRESS AMEX</t>
  </si>
  <si>
    <t>BARFLEX POLYFILMS LIMITED</t>
  </si>
  <si>
    <t>Asia Parcel Service Private Limited</t>
  </si>
  <si>
    <t>ARGO TRADING INDIA PRIVATE LIMITED</t>
  </si>
  <si>
    <t>SONIC BUSINESS SOLUTION</t>
  </si>
  <si>
    <t>TEKIES RETAIL PRIVATE LIMITED</t>
  </si>
  <si>
    <t>R.L.G FURNITURE &amp; FITTING EMPORIUM</t>
  </si>
  <si>
    <t>AMLANI RETAIL PRIVATE LIMITED</t>
  </si>
  <si>
    <t>ACTION INTERNATIONAL PRIVATE LIMITED</t>
  </si>
  <si>
    <t>HOME SIZZLER INDIA PRIVATE LIMITED</t>
  </si>
  <si>
    <t>BARKYARD PRIVATE LIMITED</t>
  </si>
  <si>
    <t>DALTON INNOVATION PRIVATE LIMITED</t>
  </si>
  <si>
    <t>Cosmos International</t>
  </si>
  <si>
    <t>SARALIFE HEALTHCARE</t>
  </si>
  <si>
    <t>Page Industries Limited</t>
  </si>
  <si>
    <t>KUEHNE NAGEL PRIVATE LIMITED</t>
  </si>
  <si>
    <t>20CUBE LOGISTICS SOLUTIONS PRIVATE LIMITED</t>
  </si>
  <si>
    <t>Prozo Distribution Private Limited</t>
  </si>
  <si>
    <t>ONE97 COMMUNICATIONS LIMITED</t>
  </si>
  <si>
    <t>INDIEJEWEL FASHIONS PRIVATE LIMITEDExp</t>
  </si>
  <si>
    <t>Arvind Fashions Limited</t>
  </si>
  <si>
    <t>Tata Play Ltd</t>
  </si>
  <si>
    <t>SPARIO PRIVATE LIMITED</t>
  </si>
  <si>
    <t>MT TELIVENTURE TECHNOLOGY</t>
  </si>
  <si>
    <t>PEPE JEANS INDIA LIMITED</t>
  </si>
  <si>
    <t>GREENDAY FARMER SOLUTIONS PRIVATE LIMITED</t>
  </si>
  <si>
    <t>HW WELNESS SOLUTIONS PVT LTD</t>
  </si>
  <si>
    <t>NAMO ENTERPRISES</t>
  </si>
  <si>
    <t>Arvind Youth Brands Private Limited</t>
  </si>
  <si>
    <t>HARMAN INTERNATIONAL (INDIA) PRIVATE LIMITED</t>
  </si>
  <si>
    <t>FUTURE MOBILE LLP</t>
  </si>
  <si>
    <t>VEGA INDUSTRIES PRIVATE LIMITED</t>
  </si>
  <si>
    <t>BATHLA ALUMINIUM PVT LTD</t>
  </si>
  <si>
    <t>SPENCER’S RETAIL LIMITED</t>
  </si>
  <si>
    <t>PLACERO INTERNATIONAL PRIVATE LIMITED</t>
  </si>
  <si>
    <t>APEX APPARELS</t>
  </si>
  <si>
    <t>PALRED ELECTRONICS PRIVATE LIMITED</t>
  </si>
  <si>
    <t>Nexon Omniverse Limited</t>
  </si>
  <si>
    <t>ROTECH HEALTHCARE PRIVATE LIMITED</t>
  </si>
  <si>
    <t>Counfreedise Retail Services Limited</t>
  </si>
  <si>
    <t>YOTTACTO CONSULTING PRIVATE LIMITED</t>
  </si>
  <si>
    <t>CONNEDIT BUSINESS SOLUTION PVT LTD</t>
  </si>
  <si>
    <t>Singer India Limited</t>
  </si>
  <si>
    <t>VAS COLLECTION PRIVATE LIMITED</t>
  </si>
  <si>
    <t>Warner Industries</t>
  </si>
  <si>
    <t>M/S VESTIGE MARKETING PRIVATE LIMITED</t>
  </si>
  <si>
    <t>Berger Paints India Limited</t>
  </si>
  <si>
    <t>YUSHKA COSMETICS LLP</t>
  </si>
  <si>
    <t>Grasim Industries Limited</t>
  </si>
  <si>
    <t>KMCR SOLUTION (OPC) PRIVATE LIMITED</t>
  </si>
  <si>
    <t>ANVESHAN FARM TECHNOLOGIES PRIVATE LIMITED</t>
  </si>
  <si>
    <t>KOLAR INDIA</t>
  </si>
  <si>
    <t>BABA ASSOCIATES &amp; LOGISTICS PRIVATE LIMITED</t>
  </si>
  <si>
    <t>NEXTIN LOGISTICS</t>
  </si>
  <si>
    <t>BIBA FASHION LIMITED</t>
  </si>
  <si>
    <t>LIPI DATA SYSTEMS LIMITED</t>
  </si>
  <si>
    <t>MIRC ELECTRONICS LTD</t>
  </si>
  <si>
    <t>Infiniti Retail Limited</t>
  </si>
  <si>
    <t>AUM 3 ETAIL</t>
  </si>
  <si>
    <t>NIRVAANIC LIFE FOODS PRIVATE LIMITED</t>
  </si>
  <si>
    <t>VEDANT FASHIONS LIMITED</t>
  </si>
  <si>
    <t>ZIVORE APPAREL PRIVATE LIMITED</t>
  </si>
  <si>
    <t>VISAGE LINES PERSONAL CARE PRIVATE LIMITED</t>
  </si>
  <si>
    <t>Teezprint</t>
  </si>
  <si>
    <t>Hindustan Movers</t>
  </si>
  <si>
    <t>BEAR HOUSE CLOTHING PRIVATE LIMITED</t>
  </si>
  <si>
    <t>BERSACHE SPORTS INTERNATIONAL PRIVATE LIMITED</t>
  </si>
  <si>
    <t>HINIROG HEALTHTECH PRIVATE LIMITED</t>
  </si>
  <si>
    <t>PARCELIT SUPPLY CHAIN SOLUTIONS PRIVATE LIMITED</t>
  </si>
  <si>
    <t>ADITYA BIRLA LIFESTYLE BRANDS LIMITED</t>
  </si>
  <si>
    <t>MOTHER &amp; BABYCARE INC</t>
  </si>
  <si>
    <t>ENVENT WORLD WIDE PRIVATE LIMITED</t>
  </si>
  <si>
    <t>ALLIANCE FORMULATIONS</t>
  </si>
  <si>
    <t>SHRI BALAJI OVERSEAS</t>
  </si>
  <si>
    <t>GREEN SOUL ERGONOMICS PRIVATE LIMITED</t>
  </si>
  <si>
    <t>SUNLIGHT SPORTS GLOBAL PRIVATE LIMITED</t>
  </si>
  <si>
    <t>SAFETIX PROTECTIVE EQUIPMENTS PRIVATE LIMITED</t>
  </si>
  <si>
    <t>TEAXPRESS PRIVATE LIMITED</t>
  </si>
  <si>
    <t>CRAVE CLOTHING COMPANY PRIVATE LIMITED</t>
  </si>
  <si>
    <t>SEA TURTLE PRIVATE LIMITED</t>
  </si>
  <si>
    <t>Ken Lifestyles Private Limited</t>
  </si>
  <si>
    <t>STEADYSTEP BUSINESS SOLUTIONS LLP</t>
  </si>
  <si>
    <t>ANNAPURNA IMPEX</t>
  </si>
  <si>
    <t>ECHELON PACKAGING</t>
  </si>
  <si>
    <t>Kisah Apparels Private Limited</t>
  </si>
  <si>
    <t>Velocity consumers Ventures Private Limited</t>
  </si>
  <si>
    <t>LANDMARK ENTERPRISES</t>
  </si>
  <si>
    <t>CELIO RETAIL PRIVATE LIMITED</t>
  </si>
  <si>
    <t>MICRO LIFE SCIENCES PRIVATE LIMITED</t>
  </si>
  <si>
    <t>SJ Polypack</t>
  </si>
  <si>
    <t>MERIL DIAGNOSTICS PRIVATE LIMITED</t>
  </si>
  <si>
    <t>PINQSTORY PRIVATE LIMITED</t>
  </si>
  <si>
    <t>GODWAYS INTERNATIONAL</t>
  </si>
  <si>
    <t>DISMANTLE DIGITAL PRIVATE LIMITED</t>
  </si>
  <si>
    <t>TONIQ RETAIL BRANDS PRIVATE LIMITED</t>
  </si>
  <si>
    <t>ECHORIFT INNOVATIONS (OPC) PRIVATE LIMITED</t>
  </si>
  <si>
    <t>ALPHA THETA</t>
  </si>
  <si>
    <t>SHANTI INTERNATIONAL</t>
  </si>
  <si>
    <t>STYLUM MART PRIVATE LIMITED</t>
  </si>
  <si>
    <t>BRILLARE SCIENCE LIMITED</t>
  </si>
  <si>
    <t>NIRVASA HEALTHCARE PRIVATE LIMITED</t>
  </si>
  <si>
    <t>KATELA CREATION</t>
  </si>
  <si>
    <t>VELLVETTE LIFESTYLE PRIVATE LIMITED</t>
  </si>
  <si>
    <t>K12</t>
  </si>
  <si>
    <t>LA VERNE</t>
  </si>
  <si>
    <t>Opcommerce Online Private Limited</t>
  </si>
  <si>
    <t>DEBELLE LIFESTYLE PRIVATE LIMITED</t>
  </si>
  <si>
    <t>ITM TRADING PRIVATE LIMITED</t>
  </si>
  <si>
    <t>GLOBAL IMPEX</t>
  </si>
  <si>
    <t>NANDINI KNITWEARS</t>
  </si>
  <si>
    <t>KIRATECH INNOVATIONS PRIVATE LIMITED</t>
  </si>
  <si>
    <t>CHIPPER CONSUMER PRIVATE LIMITED</t>
  </si>
  <si>
    <t>FURRPLE</t>
  </si>
  <si>
    <t>BSB WOOLENS PVT LTD</t>
  </si>
  <si>
    <t>TANISHKA MAKHANA</t>
  </si>
  <si>
    <t>MAGNUM POLYMERS</t>
  </si>
  <si>
    <t>GRIFFEN LOGISTICS</t>
  </si>
  <si>
    <t>United Air services</t>
  </si>
  <si>
    <t>WORTH CART PRIVATE LIMITED</t>
  </si>
  <si>
    <t>Simplicist Care LLP</t>
  </si>
  <si>
    <t>Global Logistics</t>
  </si>
  <si>
    <t>SOFT SECURE STORE</t>
  </si>
  <si>
    <t>EKVIRA COURIER &amp; CARGO SERVICE</t>
  </si>
  <si>
    <t>SEMINOLE ELECTRONICS PRIVATE LIMITED</t>
  </si>
  <si>
    <t>SHIP AGGREGATOR TECHNOLOGY PRIVATE LIMITED</t>
  </si>
  <si>
    <t>ENPOSSIBILITIES PRIVATE LIMITED</t>
  </si>
  <si>
    <t>Jet Freight Logistics Limited</t>
  </si>
  <si>
    <t>NAVI ENTERPRISES</t>
  </si>
  <si>
    <t>SOFTLITE LUGGAGE PRIVATE LIMITED</t>
  </si>
  <si>
    <t>M/S XCEL LOGISTICS</t>
  </si>
  <si>
    <t>ISANA RETAIL PRIVATE LIMITED</t>
  </si>
  <si>
    <t>ADINATH RETAIL</t>
  </si>
  <si>
    <t>CORPORATE INCENTIVE SOLUTIONS PRIVATE LIMITED</t>
  </si>
  <si>
    <t>BGN apparels</t>
  </si>
  <si>
    <t>CENTRAL E DISTRIBUTORS</t>
  </si>
  <si>
    <t>HINDUSTAN MARKETING</t>
  </si>
  <si>
    <t>SINGH COURIER CARGO SERVICE</t>
  </si>
  <si>
    <t>TRUXCARGO PRIVATE LIMITED</t>
  </si>
  <si>
    <t>INFINATOR PRIVATE LIMITED</t>
  </si>
  <si>
    <t>DUKE FASHIONS (INDIA) LIMITED</t>
  </si>
  <si>
    <t>4PL SCM TECHNOLOGIES PRIVATE LIMITED</t>
  </si>
  <si>
    <t>GULAB OIL AND FOOD</t>
  </si>
  <si>
    <t>K P LEATHER ASSOCIATES</t>
  </si>
  <si>
    <t>ARMY CARGO EXPRESS</t>
  </si>
  <si>
    <t>FNS INTERNATIONAL LIMITED</t>
  </si>
  <si>
    <t>JAMBULOGIX PRIVATE LIMITED</t>
  </si>
  <si>
    <t>KOMFORT CREATIONS</t>
  </si>
  <si>
    <t>PRAKASH TEXTILE</t>
  </si>
  <si>
    <t>QUIXGO INFOTECH PRIVATE LIMITED</t>
  </si>
  <si>
    <t>RAHMAN INDUSTRIES LIMITED</t>
  </si>
  <si>
    <t>TECH ALMOND SOLUTIONS PRIVATE LIMITED</t>
  </si>
  <si>
    <t>T T Limited</t>
  </si>
  <si>
    <t>4THD PHARMA PRIVATE LIMITED</t>
  </si>
  <si>
    <t>ADITYA ENTERPRISES</t>
  </si>
  <si>
    <t>AMRUTA HERBALS PRIVATE LIMTIED</t>
  </si>
  <si>
    <t>CHIRANTANA EQUIPACK PRIVATE LIMITED</t>
  </si>
  <si>
    <t>CLASSIC DISPLAY SYSTEMS PRIVATE LIMITED</t>
  </si>
  <si>
    <t>DSR FREIGHT CARRIER PRIVATE LIMITED</t>
  </si>
  <si>
    <t>EUREKA FORBES LIMITED</t>
  </si>
  <si>
    <t>EURONICS INDUSTRIES PRIVATE LIMITED</t>
  </si>
  <si>
    <t>EZYII EXIM</t>
  </si>
  <si>
    <t>HACHI WILSON INDIA</t>
  </si>
  <si>
    <t>KWW ELECTRICALS &amp; ELECTRONICS PRIVATE LIMITED</t>
  </si>
  <si>
    <t>LAZER INDIA PRIVATE LIMITED</t>
  </si>
  <si>
    <t>LINEN DESIGN COMPANY PRIVATE LIMITED</t>
  </si>
  <si>
    <t>LOGYXPRESS</t>
  </si>
  <si>
    <t>MALLCOM INDIA LTD</t>
  </si>
  <si>
    <t>MICRO &amp; NANOTECHNOLOGIES</t>
  </si>
  <si>
    <t>MY DESIGNATION ONLINE CLOTHING PRIVATE LIMITED</t>
  </si>
  <si>
    <t>NP GREEN ELECTRIC VEHICLES PRIVATE LIMITED</t>
  </si>
  <si>
    <t>PANCHANAN INTERNATIONAL PRIVATE LIMITED</t>
  </si>
  <si>
    <t>PD LOGISTICS</t>
  </si>
  <si>
    <t>Pine Labs Limited</t>
  </si>
  <si>
    <t>PRATEEK ENTERPRISES</t>
  </si>
  <si>
    <t>ROMSONS MEDSOURCE</t>
  </si>
  <si>
    <t>SAR INTERNATIONALS</t>
  </si>
  <si>
    <t>Schneider Electric Private Limited</t>
  </si>
  <si>
    <t>SCIENTECH TECHNOLOGIES PRIVATE LIMITED</t>
  </si>
  <si>
    <t>SHIPIT EXPRESS LOGISTICS PRIVATE LIMITED</t>
  </si>
  <si>
    <t>SHIPLYSTIC PRIVATE LIMITED</t>
  </si>
  <si>
    <t>SRI SAI ENTERPRISES</t>
  </si>
  <si>
    <t>SUNRISERS INDIA PRIVATE LIMITED</t>
  </si>
  <si>
    <t>TATA 1MG HEALTHCARE SOLUTIONS PRIVATE LIMITED</t>
  </si>
  <si>
    <t>The Shivaksh</t>
  </si>
  <si>
    <t>TIKMANY TELESYSTEMS PRIVATE LIMITED</t>
  </si>
  <si>
    <t>UARPAL Metalcraft</t>
  </si>
  <si>
    <t>VAISHNAVI AGROTECHE PRIVATE LIMITED</t>
  </si>
  <si>
    <t>VENNILA CLOTHING COMPANY</t>
  </si>
  <si>
    <t>VIRISA SPORTS PRIVATE LIMITED</t>
  </si>
  <si>
    <t>ZIPYPOST TECH PRIVATE LIMITED</t>
  </si>
  <si>
    <t>Mar Final chargeable weight</t>
  </si>
  <si>
    <t>Mar Total Revenue</t>
  </si>
  <si>
    <t>Mapped code</t>
  </si>
  <si>
    <t>MAPPED CODE</t>
  </si>
  <si>
    <t>PICKRR_B2B</t>
  </si>
  <si>
    <t>PICKRR TECHNOLOGIES PVT LTD</t>
  </si>
  <si>
    <t>Signify_Innovations_B2B</t>
  </si>
  <si>
    <t>GodrejBoyce_B2B</t>
  </si>
  <si>
    <t>GODREJ AND BOYCE MGF CO LIMITED</t>
  </si>
  <si>
    <t>GlobalBees_B2B</t>
  </si>
  <si>
    <t>AbrosSports_B2B</t>
  </si>
  <si>
    <t>Adityabirlafashion_b2b</t>
  </si>
  <si>
    <t>Trumove_B2B</t>
  </si>
  <si>
    <t>REDTAPE_B2B</t>
  </si>
  <si>
    <t>Raymond_Ltd_B2B</t>
  </si>
  <si>
    <t>Raymond Limited</t>
  </si>
  <si>
    <t>Bright_Lifecare_B2B</t>
  </si>
  <si>
    <t>PUMA_SPORT_B2B</t>
  </si>
  <si>
    <t>Prozo_Distribution_B2B</t>
  </si>
  <si>
    <t>Pageindustries_B2B</t>
  </si>
  <si>
    <t>Bolasagro_B2B</t>
  </si>
  <si>
    <t>BOLAS AGRO PVT LTD</t>
  </si>
  <si>
    <t>20CubeLogistics_B2B</t>
  </si>
  <si>
    <t>INDIEJEWEL_B2B</t>
  </si>
  <si>
    <t>INDIEJEWEL FASHIONS PRIVATE LIMITED-Exp</t>
  </si>
  <si>
    <t>FutureMobile_B2B</t>
  </si>
  <si>
    <t>Argo_Retail_B2B</t>
  </si>
  <si>
    <t>MTT_B2B</t>
  </si>
  <si>
    <t>TATA_B2B</t>
  </si>
  <si>
    <t>Yolojet_Internet_Services_Private_Limited_B2B</t>
  </si>
  <si>
    <t>Paytm_B2B</t>
  </si>
  <si>
    <t>One 97 Communications Limited</t>
  </si>
  <si>
    <t>POWERLOOK_APPARELS_B2B</t>
  </si>
  <si>
    <t>POWERLOOK APPARELS PVT LTD</t>
  </si>
  <si>
    <t>Bigship_B2B</t>
  </si>
  <si>
    <t>Berger_Paints_B2B</t>
  </si>
  <si>
    <t>Apollosupplychain_B2B</t>
  </si>
  <si>
    <t>Spykar_Lifestyles_B2B</t>
  </si>
  <si>
    <t>SPYKAR LIFESTYLES PVT. LTD.</t>
  </si>
  <si>
    <t>Yushka_Cosmetics_LLP_B2B</t>
  </si>
  <si>
    <t>HW_WELLNESS_B2B</t>
  </si>
  <si>
    <t>YASH_SEALS_B2B</t>
  </si>
  <si>
    <t>LIGHTHOUSE_B2B</t>
  </si>
  <si>
    <t>COSMOS_B2B</t>
  </si>
  <si>
    <t>Sln Coffee Private Limited_B2B</t>
  </si>
  <si>
    <t>SLN COFFEE PVT LTD</t>
  </si>
  <si>
    <t>Harman_B2B</t>
  </si>
  <si>
    <t>Harman International India Private Limited</t>
  </si>
  <si>
    <t>Damensch_B2B</t>
  </si>
  <si>
    <t>HOLAPORT_Xhipment_B2B</t>
  </si>
  <si>
    <t>Nexon_Omniverse_Limited_B2B</t>
  </si>
  <si>
    <t>FASHORLIFESTYLE_B2B</t>
  </si>
  <si>
    <t>MIRC_ELECTRONICS_PTL_B2B</t>
  </si>
  <si>
    <t>Indian_Terrain_B2B</t>
  </si>
  <si>
    <t>Visage_Line_Personal_B2B</t>
  </si>
  <si>
    <t>Icarry_B2B</t>
  </si>
  <si>
    <t>Shippingimperio_B2B</t>
  </si>
  <si>
    <t>TRANSLOGICS_SOLUTIONS_B2B</t>
  </si>
  <si>
    <t>Globate_360_B2B</t>
  </si>
  <si>
    <t>Globate 360 Solutions pvt ltd</t>
  </si>
  <si>
    <t>Palred_Electronics_B2B</t>
  </si>
  <si>
    <t>Kutchina_B2B</t>
  </si>
  <si>
    <t>Happilo_B2B</t>
  </si>
  <si>
    <t>HAPPILO INTERNATIONAL</t>
  </si>
  <si>
    <t>BathlaAluminum_B2B</t>
  </si>
  <si>
    <t>Street Nine_b2b</t>
  </si>
  <si>
    <t>NIRVAANIC_B2B</t>
  </si>
  <si>
    <t>ACEFOUR_ACCESSORIES_B2B</t>
  </si>
  <si>
    <t>AVNBUSINESS_B2B</t>
  </si>
  <si>
    <t>Warner_B2B</t>
  </si>
  <si>
    <t>COOKD_VENTURES_B2B</t>
  </si>
  <si>
    <t>ADL_International_B2B</t>
  </si>
  <si>
    <t>Pepejeans_B2B</t>
  </si>
  <si>
    <t>INFINITI_RETAIL_B2B</t>
  </si>
  <si>
    <t>MonteCarlo_B2B</t>
  </si>
  <si>
    <t>Baba_Associates_B2B</t>
  </si>
  <si>
    <t>Shivam_Incorporation_B2B</t>
  </si>
  <si>
    <t>MOTHER_AND_BABYCARE_B2B</t>
  </si>
  <si>
    <t>Hindustan_Movers_B2B</t>
  </si>
  <si>
    <t>Kisah_Apparels_B2B</t>
  </si>
  <si>
    <t>MNM_Polymers_B2B</t>
  </si>
  <si>
    <t>Greenday_Former_B2B</t>
  </si>
  <si>
    <t>ODDITY_HEALTHCARE_B2B</t>
  </si>
  <si>
    <t>ODDITY HEALTHCARE PVT LTD</t>
  </si>
  <si>
    <t>MIDLINKERZ_B2B</t>
  </si>
  <si>
    <t>LANDMARK_ENTERPRISES_B2B</t>
  </si>
  <si>
    <t>ATMOS_CARE_B2B</t>
  </si>
  <si>
    <t>Vastramay_B2B</t>
  </si>
  <si>
    <t>Southern_Health_B2B</t>
  </si>
  <si>
    <t>KMCR_SOLUTION_B2B</t>
  </si>
  <si>
    <t>Sane_Retails_Fcuk_B2B</t>
  </si>
  <si>
    <t>CONNEDIT_B2B</t>
  </si>
  <si>
    <t>AUM_3_ETAIL_B2B</t>
  </si>
  <si>
    <t>HOME_SIZZLER_B2B</t>
  </si>
  <si>
    <t>APEX_APPARELS_B2B</t>
  </si>
  <si>
    <t>Bombay_Wheels_B2B</t>
  </si>
  <si>
    <t>Libas_B2B_FTL</t>
  </si>
  <si>
    <t>PINPOINT_SALES_LLP</t>
  </si>
  <si>
    <t>DISMANTLE_DIGITAL_B2B</t>
  </si>
  <si>
    <t>J3J_ECOM_B2B</t>
  </si>
  <si>
    <t>Shipclues_B2B</t>
  </si>
  <si>
    <t>MERIL_DIAGNOSTICS_B2B</t>
  </si>
  <si>
    <t>MICRO_LIFE_B2B</t>
  </si>
  <si>
    <t>Jayshree_Textile_B2B</t>
  </si>
  <si>
    <t>FURRPLE_B2B</t>
  </si>
  <si>
    <t>Sassafras_B2B</t>
  </si>
  <si>
    <t>Velocity_Consumers_B2B</t>
  </si>
  <si>
    <t>PEORA_B2B</t>
  </si>
  <si>
    <t>TONIQRETAIL_B2B</t>
  </si>
  <si>
    <t>Alluvium_B2B</t>
  </si>
  <si>
    <t>Celio_B2B</t>
  </si>
  <si>
    <t>WINNI_RETAILS_B2B</t>
  </si>
  <si>
    <t>WINNI RETAILS PVT LTD</t>
  </si>
  <si>
    <t>Logistos_B2B</t>
  </si>
  <si>
    <t>Shipdockets_B2B</t>
  </si>
  <si>
    <t>Nextin_Logistics_B2B</t>
  </si>
  <si>
    <t>PRAKASH_ENTERPRISES_B2B</t>
  </si>
  <si>
    <t>SHANTI_INTERNATIONAL_B2B</t>
  </si>
  <si>
    <t>VELLVETTE_LIFESTYLE_B2B</t>
  </si>
  <si>
    <t>Sigma_Overseas_B2B</t>
  </si>
  <si>
    <t>KATELA_CREATION_B2B</t>
  </si>
  <si>
    <t>ITM_B2B</t>
  </si>
  <si>
    <t>ROYALEEXPRESS_B2B</t>
  </si>
  <si>
    <t>AGNIRA_LOGISTICS_B2B</t>
  </si>
  <si>
    <t>SEMINOLE_ELECTRONICS_B2B</t>
  </si>
  <si>
    <t>OM_INTERNATIONAL_B2B</t>
  </si>
  <si>
    <t>Upscalio_B2B</t>
  </si>
  <si>
    <t>ROTECH_HEALTHCARE_B2B</t>
  </si>
  <si>
    <t>ADINATH_RETAIL_B2B</t>
  </si>
  <si>
    <t>BGN_Apprels_B2B</t>
  </si>
  <si>
    <t>ISANA_Retail_PVT_LTD_B2B</t>
  </si>
  <si>
    <t>NAVI_ENTERPRISES_B2B</t>
  </si>
  <si>
    <t>CENTRAL E_DISTRIBUTORS_B2B</t>
  </si>
  <si>
    <t>Singer_India_B2B</t>
  </si>
  <si>
    <t>GLADPACK_B2B</t>
  </si>
  <si>
    <t>Asia_Parcel_B2B</t>
  </si>
  <si>
    <t>AAJ_ENTERPRISES_B2B</t>
  </si>
  <si>
    <t>Dollar_B2B</t>
  </si>
  <si>
    <t>Action_International_B2B</t>
  </si>
  <si>
    <t>ALPHA_THETA_B2B</t>
  </si>
  <si>
    <t>FAM_home_B2B</t>
  </si>
  <si>
    <t>NIRVASA_B2B</t>
  </si>
  <si>
    <t>YOTTACTO_CONSULTING_B2B</t>
  </si>
  <si>
    <t>SJ_Polypack_B2B</t>
  </si>
  <si>
    <t>PEPING_B2B</t>
  </si>
  <si>
    <t>Global_Logistics_B2B</t>
  </si>
  <si>
    <t>TT Limited_B2B</t>
  </si>
  <si>
    <t>BK_Shah_B2B</t>
  </si>
  <si>
    <t>TEKIES_B2B</t>
  </si>
  <si>
    <t>Magnum_Polymers_B2B</t>
  </si>
  <si>
    <t>Xcel_Logistics_B2B</t>
  </si>
  <si>
    <t>RAW_HIMALAYA_B2B</t>
  </si>
  <si>
    <t>INFINATOR_B2B</t>
  </si>
  <si>
    <t>TRX_B2B</t>
  </si>
  <si>
    <t>SOFTLITE_LUGGAGE_B2B</t>
  </si>
  <si>
    <t>ZIRISE_B2B</t>
  </si>
  <si>
    <t>SPARIO_B2B</t>
  </si>
  <si>
    <t>Kuehne_Nagel_B2B</t>
  </si>
  <si>
    <t>SEA_TURTLE_B2B</t>
  </si>
  <si>
    <t>DABSTER_B2B</t>
  </si>
  <si>
    <t>HINDUSTAN_B2B</t>
  </si>
  <si>
    <t>Campus_B2B</t>
  </si>
  <si>
    <t>UBER_FASHION_B2B</t>
  </si>
  <si>
    <t>ENPOSSIBILITIES_B2B</t>
  </si>
  <si>
    <t>HINIROG_HEALTHTECH_B2B</t>
  </si>
  <si>
    <t>BHAIRAVNATH_IMPEX_B2B</t>
  </si>
  <si>
    <t>Arvind_B2B</t>
  </si>
  <si>
    <t>Eshopbox_B2B</t>
  </si>
  <si>
    <t>ESHOPBOX E-COMMERCE PRIVATE LIMITED</t>
  </si>
  <si>
    <t>Kotty_B2B</t>
  </si>
  <si>
    <t>Simplicist_care_B2B</t>
  </si>
  <si>
    <t>TEAXPRESS_B2B</t>
  </si>
  <si>
    <t>LITTLE_B2B</t>
  </si>
  <si>
    <t>PARCELIT_B2B</t>
  </si>
  <si>
    <t>UNITED_AIR_B2B</t>
  </si>
  <si>
    <t>HANDY_HOME_B2B</t>
  </si>
  <si>
    <t>ANVESHAN_FARM_B2B</t>
  </si>
  <si>
    <t>SYNFOCOM_B2B</t>
  </si>
  <si>
    <t>Speedfox_B2B</t>
  </si>
  <si>
    <t>Oxys_Beauty_B2B</t>
  </si>
  <si>
    <t>Tanishka_Makhana_B2B</t>
  </si>
  <si>
    <t>Campussutra_B2B</t>
  </si>
  <si>
    <t>VAS_COLLECTION_B2B</t>
  </si>
  <si>
    <t>TENSOR_LOGISTICS_B2B</t>
  </si>
  <si>
    <t>BRILLARE_B2B</t>
  </si>
  <si>
    <t>Renee_B2B</t>
  </si>
  <si>
    <t>CORPORATE_INCENTIVE_B2B</t>
  </si>
  <si>
    <t>Griffen_Logistics_B2B</t>
  </si>
  <si>
    <t>Vedant_B2B</t>
  </si>
  <si>
    <t>COUNFREEDISE_B2B</t>
  </si>
  <si>
    <t>Gracious_B2B</t>
  </si>
  <si>
    <t>Gracious Logistics and Warehouse Pvt Ltd</t>
  </si>
  <si>
    <t>E-RISING_B2B</t>
  </si>
  <si>
    <t>E-RISING (INDIA) PRIVATE LIMITED</t>
  </si>
  <si>
    <t>DEBELLE_B2B</t>
  </si>
  <si>
    <t>Bear_House_B2B</t>
  </si>
  <si>
    <t>PUREPLAY_B2B</t>
  </si>
  <si>
    <t>Vega_B2B</t>
  </si>
  <si>
    <t>Jet_Freight_B2B</t>
  </si>
  <si>
    <t>Kiratech_B2B</t>
  </si>
  <si>
    <t>INNOVENT_B2B</t>
  </si>
  <si>
    <t>MIDVISION_B2B</t>
  </si>
  <si>
    <t>Lily_India_B2B</t>
  </si>
  <si>
    <t>SNRNGDIGITAL_B2B</t>
  </si>
  <si>
    <t>PLACERO_INTERNATIONAL_B2B</t>
  </si>
  <si>
    <t>CREDENT_B2B</t>
  </si>
  <si>
    <t>Amul_Macho_B2B</t>
  </si>
  <si>
    <t>Rare _Rabbit_B2B</t>
  </si>
  <si>
    <t>Snapin_B2B</t>
  </si>
  <si>
    <t>LA_VERNE_B2B</t>
  </si>
  <si>
    <t>Soft_B2B</t>
  </si>
  <si>
    <t>BARKYARD_B2B</t>
  </si>
  <si>
    <t>PINQSTORY_B2B</t>
  </si>
  <si>
    <t>SPENCER_B2B</t>
  </si>
  <si>
    <t>BIBA_ FASHION_B2B</t>
  </si>
  <si>
    <t>HOLISTIQUE_B2B</t>
  </si>
  <si>
    <t>HD_Enterprise_B2B</t>
  </si>
  <si>
    <t>VSM_LOGISTICS_B2B</t>
  </si>
  <si>
    <t>ITHINK_LOGISTIC_B2B</t>
  </si>
  <si>
    <t>Teezprint_B2B</t>
  </si>
  <si>
    <t>THOR_DISTRIBUTORS_B2B</t>
  </si>
  <si>
    <t>ANNAPURNA_IMPEX_B2B</t>
  </si>
  <si>
    <t>CELLO_WORLD_B2B</t>
  </si>
  <si>
    <t>CRAVE_B2B</t>
  </si>
  <si>
    <t>CULTSPORT_Haryana_B2B</t>
  </si>
  <si>
    <t>Echelon_B2B</t>
  </si>
  <si>
    <t>GINODIA_B2B</t>
  </si>
  <si>
    <t>Himalaya_Wellness_B2B</t>
  </si>
  <si>
    <t>OVERHAUL SOLUTIONS PRIVATE LIMITED_B2B</t>
  </si>
  <si>
    <t>SUNLIGHT_B2B</t>
  </si>
  <si>
    <t>AGILITAS_B2B</t>
  </si>
  <si>
    <t>DALTON_B2B</t>
  </si>
  <si>
    <t>DUKE_FASHIONS_B2B</t>
  </si>
  <si>
    <t>ENVENT_B2B</t>
  </si>
  <si>
    <t>GLOBAL_MPEX_B2B</t>
  </si>
  <si>
    <t>LUX_B2B</t>
  </si>
  <si>
    <t>Modenik_YES_B2B</t>
  </si>
  <si>
    <t>MOSAIC_B2B</t>
  </si>
  <si>
    <t>OPEN_SOURCE_B2B</t>
  </si>
  <si>
    <t>OSG_B2B</t>
  </si>
  <si>
    <t>PRANAY_SABOO_B2B</t>
  </si>
  <si>
    <t>SAVEX_B2B</t>
  </si>
  <si>
    <t>SHIP_AGGREGATOR_B2B</t>
  </si>
  <si>
    <t>SHRI_BALAJI_B2B</t>
  </si>
  <si>
    <t>Wellversed_B2B</t>
  </si>
  <si>
    <t>BERSACHE_B2B</t>
  </si>
  <si>
    <t>NAMO_B2B</t>
  </si>
  <si>
    <t>SANKETHI_B2B</t>
  </si>
  <si>
    <t>CHIPPER_B2B</t>
  </si>
  <si>
    <t>STYLE_WAVES_B2B</t>
  </si>
  <si>
    <t>HK_DATA_B2B</t>
  </si>
  <si>
    <t>Seshasaai_kundli_B2B</t>
  </si>
  <si>
    <t>TUAREG_B2B</t>
  </si>
  <si>
    <t>STUDDS_B2B</t>
  </si>
  <si>
    <t>SINGH_COURIER_B2B</t>
  </si>
  <si>
    <t>ALLIANCE_B2B</t>
  </si>
  <si>
    <t>KARCHER_B2B</t>
  </si>
  <si>
    <t>KARCHER CLEANING SYSTEMS PRIVATE LIMTED</t>
  </si>
  <si>
    <t>OLA_B2B</t>
  </si>
  <si>
    <t>School_shop_B2B</t>
  </si>
  <si>
    <t>WOCKHARDT_B2B</t>
  </si>
  <si>
    <t>Adidas_B2B</t>
  </si>
  <si>
    <t>MVIKAS_B2B</t>
  </si>
  <si>
    <t>SHREE_MARUTI_B2B</t>
  </si>
  <si>
    <t>METRO_B2B</t>
  </si>
  <si>
    <t>JQR_B2B</t>
  </si>
  <si>
    <t>VKC_B2B</t>
  </si>
  <si>
    <t>HONASA_B2B</t>
  </si>
  <si>
    <t>BATA_B2B</t>
  </si>
  <si>
    <t>Carrie_Max_B2B</t>
  </si>
  <si>
    <t>Coffee_B2B</t>
  </si>
  <si>
    <t>ROMSONS_B2B</t>
  </si>
  <si>
    <t>CREATIVE_B2B</t>
  </si>
  <si>
    <t>XIAOMI</t>
  </si>
  <si>
    <t>DAS_FOODTECH_B2B</t>
  </si>
  <si>
    <t>JK_GYPSUM_INWARD_B2B</t>
  </si>
  <si>
    <t>AWESOMEFAB_B2B</t>
  </si>
  <si>
    <t>SHIPSHOPY_B2B</t>
  </si>
  <si>
    <t>PRATYAYA_B2B</t>
  </si>
  <si>
    <t>Samara_B2B</t>
  </si>
  <si>
    <t>Imagine_Marketing_B2B</t>
  </si>
  <si>
    <t>KORES_OUTBOUND_B2B</t>
  </si>
  <si>
    <t>SHREE_KARNI_B2B</t>
  </si>
  <si>
    <t>AFFINITY_B2B</t>
  </si>
  <si>
    <t>CD_BEVERAGES_B2B</t>
  </si>
  <si>
    <t>PICK_SPEED_B2B</t>
  </si>
  <si>
    <t>CREDO_B2B</t>
  </si>
  <si>
    <t>EARTH_CRUST_B2B</t>
  </si>
  <si>
    <t>Schneider_B2B</t>
  </si>
  <si>
    <t>OLBUIZ_B2B</t>
  </si>
  <si>
    <t>INKODOP_B2B</t>
  </si>
  <si>
    <t>Goswift_B2B</t>
  </si>
  <si>
    <t>INDO_COUNT_B2B</t>
  </si>
  <si>
    <t>Baltra_B2B</t>
  </si>
  <si>
    <t>SKB_FOOD_B2B</t>
  </si>
  <si>
    <t>UNIVISION_B2B</t>
  </si>
  <si>
    <t>XCELL_B2B</t>
  </si>
  <si>
    <t>DEVYSUN_B2B</t>
  </si>
  <si>
    <t>Reset_Supply_B2B</t>
  </si>
  <si>
    <t>SUDHIR_AUTOMOTIVE_B2B</t>
  </si>
  <si>
    <t>LITTLE_NAP_B2B</t>
  </si>
  <si>
    <t>MANGLA_B2B</t>
  </si>
  <si>
    <t>SPYKAR_LIFESTYLES_B2B</t>
  </si>
  <si>
    <t>NAUTINATI(ABDFVL)_B2B</t>
  </si>
  <si>
    <t>ASHANA_B2B</t>
  </si>
  <si>
    <t>ABHAY_TECHNO_B2B</t>
  </si>
  <si>
    <t>PROELIUM_B2B</t>
  </si>
  <si>
    <t>Uni_Indo_B2B</t>
  </si>
  <si>
    <t>RATAN_B2B</t>
  </si>
  <si>
    <t>Sellocloud_B2B</t>
  </si>
  <si>
    <t>JAGDAMBA_B2B</t>
  </si>
  <si>
    <t>ALPINO_B2B</t>
  </si>
  <si>
    <t>CARGOWALE_B2B</t>
  </si>
  <si>
    <t>KP_LEATHER_B2B</t>
  </si>
  <si>
    <t>MOULSHREE_IMPEX_B2B</t>
  </si>
  <si>
    <t>6HEIGHT_B2B</t>
  </si>
  <si>
    <t>Fortune_Marketing_B2B</t>
  </si>
  <si>
    <t>HAMILTON_B2B</t>
  </si>
  <si>
    <t>SCRAFT_B2B</t>
  </si>
  <si>
    <t>PIK-UP_LOGISTICS_B2B</t>
  </si>
  <si>
    <t>ISHVI_B2B</t>
  </si>
  <si>
    <t>TEJAS_CARRIERS_B2B</t>
  </si>
  <si>
    <t>STATUS_QUO_B2B</t>
  </si>
  <si>
    <t>KONEXSPORTS_B2B</t>
  </si>
  <si>
    <t>SN_LIFE_B2B</t>
  </si>
  <si>
    <t>SHYPBUDDY_B2B</t>
  </si>
  <si>
    <t>TRADE_FT_B2B</t>
  </si>
  <si>
    <t>THE_WOOD_WHITE_B2B</t>
  </si>
  <si>
    <t>AIRMAIL_B2B</t>
  </si>
  <si>
    <t>BARFLEX_B2B</t>
  </si>
  <si>
    <t>SONIC_B2B</t>
  </si>
  <si>
    <t>RLG_FURNITURE_B2B</t>
  </si>
  <si>
    <t>AMLANI_B2B</t>
  </si>
  <si>
    <t>Saralife_B2B</t>
  </si>
  <si>
    <t>One_97_Communications Ltd</t>
  </si>
  <si>
    <t>VESTIGE_MARKETING_B2B</t>
  </si>
  <si>
    <t>Kolar_B2B</t>
  </si>
  <si>
    <t>LIPI_B2B</t>
  </si>
  <si>
    <t>SUNLIGHT_GLOBAL_B2B</t>
  </si>
  <si>
    <t>SAFETIX_B2B</t>
  </si>
  <si>
    <t>KEN_Lifestyles_B2B</t>
  </si>
  <si>
    <t>STEADYSTEP_B2B</t>
  </si>
  <si>
    <t>GODWAYS_B2B</t>
  </si>
  <si>
    <t>Echorift_B2B</t>
  </si>
  <si>
    <t>STYLUM_B2B</t>
  </si>
  <si>
    <t>K12_B2B</t>
  </si>
  <si>
    <t>NANDINI_KNITWEARS_B2B</t>
  </si>
  <si>
    <t>BSB_Woolens_B2B</t>
  </si>
  <si>
    <t>WORTH_B2B</t>
  </si>
  <si>
    <t>Ekvira_B2B</t>
  </si>
  <si>
    <t>Duke_B2B</t>
  </si>
  <si>
    <t>4PL_SCM_B2B</t>
  </si>
  <si>
    <t>GULAB_JAI_B2B</t>
  </si>
  <si>
    <t>Army_cargo_B2B</t>
  </si>
  <si>
    <t>FNS_INTERNATIONAL_B2B</t>
  </si>
  <si>
    <t>JAMBULOGIX_B2B</t>
  </si>
  <si>
    <t>KOMFORT_B2B</t>
  </si>
  <si>
    <t>Prakash_Textile_B2B</t>
  </si>
  <si>
    <t>QUIXGO_B2B</t>
  </si>
  <si>
    <t>RAHMAN_B2B</t>
  </si>
  <si>
    <t>TECH_ALMOND_B2B</t>
  </si>
  <si>
    <t>4TH_PHARMA_B2B</t>
  </si>
  <si>
    <t>ADITYA_ENTERPRISES_B2B</t>
  </si>
  <si>
    <t>Amruta_Herbals_B2B</t>
  </si>
  <si>
    <t>CHIRANTANA_B2B</t>
  </si>
  <si>
    <t>CLASSIC_DISPLAY_B2B</t>
  </si>
  <si>
    <t>DSR_FREIGHT_B2B</t>
  </si>
  <si>
    <t>EurekaForbes_B2B</t>
  </si>
  <si>
    <t>EURONICS_B2B</t>
  </si>
  <si>
    <t>EZYII_EXIM_B2B</t>
  </si>
  <si>
    <t>HACHI_B2B</t>
  </si>
  <si>
    <t>KWW_ELECTRICALS_B2B</t>
  </si>
  <si>
    <t>LAZER_B2B</t>
  </si>
  <si>
    <t>LINEN_DESIGN_B2B</t>
  </si>
  <si>
    <t>LOGYXPRESS_B2B</t>
  </si>
  <si>
    <t>MALLCOM_B2B</t>
  </si>
  <si>
    <t>MICRO_NANO_B2B</t>
  </si>
  <si>
    <t>MY_DESIGNATION_B2B</t>
  </si>
  <si>
    <t>NP_GREEN_B2B</t>
  </si>
  <si>
    <t>PANCHANAN_B2B</t>
  </si>
  <si>
    <t>PD_Logistics_B2B</t>
  </si>
  <si>
    <t>Pine_Labs_B2B</t>
  </si>
  <si>
    <t>Prateek_B2B</t>
  </si>
  <si>
    <t>Romsons_Medsource_B2B</t>
  </si>
  <si>
    <t>SAR_INTERNATIONALS_B2B</t>
  </si>
  <si>
    <t>SCIENTECH_B2B</t>
  </si>
  <si>
    <t>SHIPIT_EXPRESS_B2B</t>
  </si>
  <si>
    <t>SHIPLYSTIC_B2B</t>
  </si>
  <si>
    <t>SRI_SAI_ENTERPRISES_B2B</t>
  </si>
  <si>
    <t>SUNRISERS_INDIA_B2B</t>
  </si>
  <si>
    <t>1MG_B2B</t>
  </si>
  <si>
    <t>THE_SHIVAKSH_B2B</t>
  </si>
  <si>
    <t>TIKMANY_B2B</t>
  </si>
  <si>
    <t>UARPAL_METALCRAFT_B2B</t>
  </si>
  <si>
    <t>VAISHNAVI_B2B</t>
  </si>
  <si>
    <t>VIRISA_SPORTS_B2B</t>
  </si>
  <si>
    <t>ZIPYPOST_B2B</t>
  </si>
  <si>
    <t>Adityabirlafashion_RTV_b2b</t>
  </si>
  <si>
    <t>Campus Activewear Limited</t>
  </si>
  <si>
    <t>Connedit</t>
  </si>
  <si>
    <t>Debelle Lifestyle private limited</t>
  </si>
  <si>
    <t>GOSPRINT LOGISTICS PRIVATE LIMITED</t>
  </si>
  <si>
    <t>IndieJewel_Air</t>
  </si>
  <si>
    <t>J G HOSIERY PRIVATE LIMITED,</t>
  </si>
  <si>
    <t>Kuehne Nagel Private Limited</t>
  </si>
  <si>
    <t>Libas_B2B</t>
  </si>
  <si>
    <t>Libas</t>
  </si>
  <si>
    <t>M/s Shivam Incorporation</t>
  </si>
  <si>
    <t>M/s. Grasim Industries Limited</t>
  </si>
  <si>
    <t>MERHAKI_B2B</t>
  </si>
  <si>
    <t>merhaki</t>
  </si>
  <si>
    <t>Micro_Footwear_B2B</t>
  </si>
  <si>
    <t>ODDITY HEALTHCARE PVT LTD.</t>
  </si>
  <si>
    <t>PUREPLAY SKIN SCIENCES PRIVATE LIMITED</t>
  </si>
  <si>
    <t>Shippingimperio</t>
  </si>
  <si>
    <t>SLN_Coffee</t>
  </si>
  <si>
    <t>StreetNine</t>
  </si>
  <si>
    <t>Trumove</t>
  </si>
  <si>
    <t>Vastramay</t>
  </si>
  <si>
    <t>client status</t>
  </si>
  <si>
    <t>Rev diff</t>
  </si>
  <si>
    <t>Comemnt</t>
  </si>
  <si>
    <t>remarks</t>
  </si>
  <si>
    <t>Rev %</t>
  </si>
  <si>
    <t>others</t>
  </si>
  <si>
    <t>KAM</t>
  </si>
  <si>
    <t>New client (Jan'26)</t>
  </si>
  <si>
    <t>New July'24</t>
  </si>
  <si>
    <t>New(dec)</t>
  </si>
  <si>
    <t>New (Aug)</t>
  </si>
  <si>
    <t>new client(march'25)</t>
  </si>
  <si>
    <t>new client (Dec'25)</t>
  </si>
  <si>
    <t>New client (june'25)</t>
  </si>
  <si>
    <t>New(Jan)</t>
  </si>
  <si>
    <t>New  client (Nov'25)</t>
  </si>
  <si>
    <t>New client (Nov'25)</t>
  </si>
  <si>
    <t>New Client(Feb 2026)</t>
  </si>
  <si>
    <t>New client (Oct'25)</t>
  </si>
  <si>
    <t>New client (Feb'26)</t>
  </si>
  <si>
    <t>new may'25</t>
  </si>
  <si>
    <t>New may'25</t>
  </si>
  <si>
    <t>New client (July'25)</t>
  </si>
  <si>
    <t>revival Sep'25</t>
  </si>
  <si>
    <t>New(July)</t>
  </si>
  <si>
    <t>New client (Aug'25)</t>
  </si>
  <si>
    <t>New Client (April'25)</t>
  </si>
  <si>
    <t>Revival</t>
  </si>
  <si>
    <t>New client (FEB'26)</t>
  </si>
  <si>
    <t>New client (Jan'25)</t>
  </si>
  <si>
    <t>Revival may'25</t>
  </si>
  <si>
    <t>New(Feb)</t>
  </si>
  <si>
    <t>Revival (Feb'26)</t>
  </si>
  <si>
    <t>New client (Sep'25)</t>
  </si>
  <si>
    <t>New client (Mar'26)</t>
  </si>
  <si>
    <t>New client (April26)</t>
  </si>
  <si>
    <t>New client(Mar'26)</t>
  </si>
  <si>
    <t>New Client(April'26)</t>
  </si>
  <si>
    <t>New Client(March'26)</t>
  </si>
  <si>
    <t>Top 20</t>
  </si>
  <si>
    <t>Bottom 20</t>
  </si>
  <si>
    <t>New client</t>
  </si>
  <si>
    <t>Churn client</t>
  </si>
  <si>
    <t>Total number of client</t>
  </si>
  <si>
    <t>Number of client uptrending</t>
  </si>
  <si>
    <t>Number of client downtrending</t>
  </si>
  <si>
    <t>Growth/De Growth</t>
  </si>
  <si>
    <t>Churn Count</t>
  </si>
  <si>
    <t>Near Lost(&gt;70% Rev loss)</t>
  </si>
  <si>
    <t>Churn clients</t>
  </si>
  <si>
    <t>Promised Rev</t>
  </si>
  <si>
    <t>KAM/BD</t>
  </si>
  <si>
    <t>Remarks</t>
  </si>
  <si>
    <t>Near Lost</t>
  </si>
  <si>
    <t>Bottom 20 clients</t>
  </si>
  <si>
    <t>% Rev</t>
  </si>
  <si>
    <t>Rev Diff</t>
  </si>
  <si>
    <t>Top 20 clients</t>
  </si>
  <si>
    <t>Client name</t>
  </si>
  <si>
    <t>Opcommerce_B2B</t>
  </si>
  <si>
    <t>AANSWR_FASHION_B2B</t>
  </si>
  <si>
    <t>AANSWR FASHION PRIVATE LIMITED</t>
  </si>
  <si>
    <t>AETRIO_TECHNOLOGY_B2B</t>
  </si>
  <si>
    <t>AETRIO TECHNOLOGY INDIA PRIVATE LIMITED</t>
  </si>
  <si>
    <t>ANBU_EXPRESS_B2B</t>
  </si>
  <si>
    <t>ANBU EXPRESS SERVICES</t>
  </si>
  <si>
    <t>ARDENT_B2B</t>
  </si>
  <si>
    <t>ARDENT ADWORLD PRIVATE LIMITED</t>
  </si>
  <si>
    <t>ASIAN_RETAIL_B2B</t>
  </si>
  <si>
    <t>ASIAN RETAIL VENTURES</t>
  </si>
  <si>
    <t>AUSTRALIAN_FOODS_B2B</t>
  </si>
  <si>
    <t>AUSTRALIAN FOODS INDIA PRIVATE LIMITED</t>
  </si>
  <si>
    <t>B_JAIN_PHARMA_B2B</t>
  </si>
  <si>
    <t>B JAIN PHARMACEUTICALS PRIVATE LIMITED</t>
  </si>
  <si>
    <t>BALAJI_SOLUTIONS_B2B</t>
  </si>
  <si>
    <t>BALAJI SOLUTIONS LIMITED</t>
  </si>
  <si>
    <t>BEAUTY_IMPEX_B2B</t>
  </si>
  <si>
    <t>BEAUTY IMPEX PRIVATE LIMITED</t>
  </si>
  <si>
    <t>BIOWEAVES_B2B</t>
  </si>
  <si>
    <t>BIOWEAVES RETAIL LLP</t>
  </si>
  <si>
    <t>BLUEDOT_B2B</t>
  </si>
  <si>
    <t>BLUE DOT</t>
  </si>
  <si>
    <t>BRAND_POWER_B2B</t>
  </si>
  <si>
    <t>BRAND POWER</t>
  </si>
  <si>
    <t>KUMAR_SONS_MUMBAI_B2B</t>
  </si>
  <si>
    <t>C TRACK AUTO INDUSTRIES</t>
  </si>
  <si>
    <t>CJ_DARCL_CERAGEM_B2B</t>
  </si>
  <si>
    <t>CJ DARCL LOGISTICS LIMITED</t>
  </si>
  <si>
    <t>CREATIVE SHADOWS PROMOTION PRIVATE LIMITED</t>
  </si>
  <si>
    <t>DELIGHT_XPRESS_B2B</t>
  </si>
  <si>
    <t>DELIGHT XPRESS</t>
  </si>
  <si>
    <t>EVIKA_TRADING_B2B</t>
  </si>
  <si>
    <t>Evika Trading</t>
  </si>
  <si>
    <t>EXYTE_B2B</t>
  </si>
  <si>
    <t>EXYTE SOLUTIONS PRIVATE LIMITED</t>
  </si>
  <si>
    <t>FABIANO_B2B</t>
  </si>
  <si>
    <t>FABIANO APPLIANCES PRIVATE LIMITED</t>
  </si>
  <si>
    <t>FAST_CARGO_B2B</t>
  </si>
  <si>
    <t>FAST CARGO</t>
  </si>
  <si>
    <t>FIXFEELS_B2B</t>
  </si>
  <si>
    <t>FIXFEELS TECHNOLOGIES PRIVATE LIMITED</t>
  </si>
  <si>
    <t>GAUTAM_INDUSTRIES_B2B</t>
  </si>
  <si>
    <t>GAUTAM INDUSTRIES</t>
  </si>
  <si>
    <t>GOOGO_GAAGA_B2B</t>
  </si>
  <si>
    <t>Googo Gaaga Online Services Private Limited</t>
  </si>
  <si>
    <t>HI_FI_PRINTERS_B2B</t>
  </si>
  <si>
    <t>HI FI PRINTERS</t>
  </si>
  <si>
    <t>KARMA_SILVERLIFE_B2B</t>
  </si>
  <si>
    <t>KARMA SILVERLIFE PRIVATE LIMITED</t>
  </si>
  <si>
    <t>KUMARAN_ENGINEERS_B2B</t>
  </si>
  <si>
    <t>KUMARAN ENGINEERS</t>
  </si>
  <si>
    <t>KUNAL_PRINTS_B2B</t>
  </si>
  <si>
    <t>KUNAL PRINTS</t>
  </si>
  <si>
    <t>LINC_PEN_B2B</t>
  </si>
  <si>
    <t>LINC LIMITED</t>
  </si>
  <si>
    <t>MICROPARK_B2B</t>
  </si>
  <si>
    <t>MICROPARK LOGISTICS PRIVATE LIMITED</t>
  </si>
  <si>
    <t>NEVA_GARMENTS_B2B</t>
  </si>
  <si>
    <t>NEVA GARMENTS LIMITED</t>
  </si>
  <si>
    <t>NEWS_EXPRESS_B2B</t>
  </si>
  <si>
    <t>NEWS EXPRESS SOLUTIONS PRIVATE LIMITED</t>
  </si>
  <si>
    <t>NUTRALIFE_FOODS_B2B</t>
  </si>
  <si>
    <t>NUTRALIFE FOODS LLP</t>
  </si>
  <si>
    <t>OCEYAN_B2B</t>
  </si>
  <si>
    <t>OCEYAN FUNFOODS PRIVATE LIMITED</t>
  </si>
  <si>
    <t>ORNAWARE_B2B</t>
  </si>
  <si>
    <t>ORNAWARE FINESSE PRIVATE LIMITED</t>
  </si>
  <si>
    <t>PAI_CRISTAL_B2B</t>
  </si>
  <si>
    <t>PAI CRISTAL INDIA PRIVATE LIMITED</t>
  </si>
  <si>
    <t>PHYSICSWALLAH_B2B</t>
  </si>
  <si>
    <t>PHYSICSWALLAH LIMITED</t>
  </si>
  <si>
    <t>PKS_ENTERPRISES_B2B</t>
  </si>
  <si>
    <t>PKS ENTERPRISES</t>
  </si>
  <si>
    <t>PROZO_INTEGRATED_B2B</t>
  </si>
  <si>
    <t>PROZO INTEGRATED LOGISTICS PRIVATE LIMITED</t>
  </si>
  <si>
    <t>RAFTAAR_CARGO_B2B</t>
  </si>
  <si>
    <t>RAFTAAR CARGO AND TRANSPORT SOLUTIONS PRIVATE LIMI</t>
  </si>
  <si>
    <t>RASNA_INDIA_B2B</t>
  </si>
  <si>
    <t>RASNA PRIVATE LIMITED</t>
  </si>
  <si>
    <t>STHYSILK_VLR_B2B</t>
  </si>
  <si>
    <t>SATHY SILKS PRIVATE LIMITED</t>
  </si>
  <si>
    <t>SNITCH_B2B</t>
  </si>
  <si>
    <t>SNITCH APPARELS PRIVATE LIMITED</t>
  </si>
  <si>
    <t>SPARSA_B2B</t>
  </si>
  <si>
    <t>SPARSA DIGITAL PRIVATE LIMITED</t>
  </si>
  <si>
    <t>STUFA_B2B</t>
  </si>
  <si>
    <t>STUFA MANUFACTURING ENTERPRISE</t>
  </si>
  <si>
    <t>TIRUPATI_B2B</t>
  </si>
  <si>
    <t>TIRUPATI COLOUR PENS PRIVATE LIMITED</t>
  </si>
  <si>
    <t>UNICORN_DENMART_B2B</t>
  </si>
  <si>
    <t>UNICORN DENMART LIMITED</t>
  </si>
  <si>
    <t>URBAN_STAR_B2B</t>
  </si>
  <si>
    <t>URBAN STAR GLOBAL SERVICES PRIVATE LIMITED</t>
  </si>
  <si>
    <t>VARIABLE_INSTINCT_B2B</t>
  </si>
  <si>
    <t>VARIABLE INSTINCT SERVICE</t>
  </si>
  <si>
    <t>VRS_ALL_CARGO_B2B</t>
  </si>
  <si>
    <t>VRS ALL CARGO PACKERS &amp; MOVERS PRIVATE LIMITED</t>
  </si>
  <si>
    <t>WIPRO_FMCG_B2B</t>
  </si>
  <si>
    <t>WIPRO ENTERPRISES PRIVATE LIMITED</t>
  </si>
  <si>
    <t>XEOM_B2B</t>
  </si>
  <si>
    <t>XEOM CONSUMER PRIVATE LIMITED</t>
  </si>
  <si>
    <t>XYXX_APPARELS_B2B</t>
  </si>
  <si>
    <t>XYXX APPARELS PRIVATE LIMITED</t>
  </si>
  <si>
    <t>For Apr file</t>
  </si>
  <si>
    <t>SCM GARMENTS PRIVATE LIMITED</t>
  </si>
  <si>
    <t>SCM INTERNATIONAL IMPEX PKA INDIA PRIVATE LIMITED</t>
  </si>
  <si>
    <t>THE KTM JEWELLERY LIMITED</t>
  </si>
  <si>
    <t>Apr Final chargeable weight</t>
  </si>
  <si>
    <t>Apr Total Revenue</t>
  </si>
  <si>
    <t>Revival (Apr'26)</t>
  </si>
  <si>
    <t>New client (April'26)</t>
  </si>
  <si>
    <t>NEW client (Apr'26)</t>
  </si>
  <si>
    <t>New  client (Apr'26)</t>
  </si>
  <si>
    <t>New client (Apr'26)</t>
  </si>
  <si>
    <t>new client (Apr'26)</t>
  </si>
  <si>
    <r>
      <rPr>
        <b/>
        <sz val="12"/>
        <color theme="1"/>
        <rFont val="Calibri"/>
        <family val="2"/>
        <scheme val="minor"/>
      </rPr>
      <t>Feb</t>
    </r>
    <r>
      <rPr>
        <b/>
        <sz val="12"/>
        <color rgb="FFFF0000"/>
        <rFont val="Calibri"/>
        <family val="2"/>
        <scheme val="minor"/>
      </rPr>
      <t xml:space="preserve"> RPK</t>
    </r>
  </si>
  <si>
    <r>
      <rPr>
        <b/>
        <sz val="12"/>
        <color theme="1"/>
        <rFont val="Calibri"/>
        <family val="2"/>
        <scheme val="minor"/>
      </rPr>
      <t>Apr</t>
    </r>
    <r>
      <rPr>
        <b/>
        <sz val="12"/>
        <color rgb="FFFF0000"/>
        <rFont val="Calibri"/>
        <family val="2"/>
        <scheme val="minor"/>
      </rPr>
      <t xml:space="preserve"> RPK</t>
    </r>
  </si>
  <si>
    <t>ARVIND LIFESTYLE_KG</t>
  </si>
  <si>
    <t>Signify_North_primary_B2B</t>
  </si>
  <si>
    <t>Arvind Fashion_KG</t>
  </si>
  <si>
    <t>ARVIND YOUTH_KG</t>
  </si>
  <si>
    <t>Rare_Rabbit_B2B</t>
  </si>
  <si>
    <t>GRACIOUS_LOGISTICS_B2B</t>
  </si>
  <si>
    <t>Signify_West_primary_B2B</t>
  </si>
  <si>
    <t>Flipkart</t>
  </si>
  <si>
    <t xml:space="preserve">Flipkart internet Pvt ltd </t>
  </si>
  <si>
    <t>Signify_East_Secondary_B2B</t>
  </si>
  <si>
    <t>H K DATA Services Private Limited</t>
  </si>
  <si>
    <t xml:space="preserve">HOLISTIQUE_B2B </t>
  </si>
  <si>
    <t>CULTSPORT_BLR_B2B</t>
  </si>
  <si>
    <t>Modenik_ecom_B2B</t>
  </si>
  <si>
    <t>Raymond_Home_Ltd_B2B</t>
  </si>
  <si>
    <t>SHIPSHOPY PRIVATE LIMITED</t>
  </si>
  <si>
    <t>METRO_STS_B2B</t>
  </si>
  <si>
    <t>EKART_EXT_POD</t>
  </si>
  <si>
    <t xml:space="preserve">Flipkart India Pvt ltd </t>
  </si>
  <si>
    <t>Renee_Cosmetics_B2B</t>
  </si>
  <si>
    <t>CAFE_COFFEE_BLR_B2B</t>
  </si>
  <si>
    <t>Pantaloons_B2B</t>
  </si>
  <si>
    <t>KUEHNE_NAGEL_B2B</t>
  </si>
  <si>
    <t>AdityaBirlaFashion_b2b</t>
  </si>
  <si>
    <t>COFFEE_B2B</t>
  </si>
  <si>
    <t>Dollar-North_Socks Division_B2B</t>
  </si>
  <si>
    <t>Modenik_TRP_B2B</t>
  </si>
  <si>
    <t>Pageindustries_Narasapura_B2B</t>
  </si>
  <si>
    <t>SOUTHERN HEALTH_B2B</t>
  </si>
  <si>
    <t>CD_BEVERAGES_AHM_B2B</t>
  </si>
  <si>
    <t>CAFE_COFFEE_AHM_B2B</t>
  </si>
  <si>
    <t>Vstramay_B2B</t>
  </si>
  <si>
    <t>CULTSPORT_TN_B2B</t>
  </si>
  <si>
    <t>CAFE_COFFEE_PKL_B2B</t>
  </si>
  <si>
    <t>CRAVE_LUDHIANA_B2B</t>
  </si>
  <si>
    <t>OM_INTERNATIOPNAL_B2B</t>
  </si>
  <si>
    <t xml:space="preserve">Carrie_Max_B2B </t>
  </si>
  <si>
    <t>OVERHAUL_B2B</t>
  </si>
  <si>
    <t>COSMOS INTERNATIONAL</t>
  </si>
  <si>
    <t>Puma Sports India Private Limited</t>
  </si>
  <si>
    <t>CAFE_COFFEE_KOL_B2B</t>
  </si>
  <si>
    <t>Flipkart_Staples</t>
  </si>
  <si>
    <t>CD_BEVERAGES_BHI_B2B</t>
  </si>
  <si>
    <t>Adityabirlafashion_RTV_B2B</t>
  </si>
  <si>
    <t>ALLUVIUM_B2B</t>
  </si>
  <si>
    <t xml:space="preserve">QUIXGO_B2B </t>
  </si>
  <si>
    <t>SOUTHERN_HEALTH_Distributors_B2B</t>
  </si>
  <si>
    <t>CAFE_COFFEE_GGN_B2B</t>
  </si>
  <si>
    <t>IndoCount_Retail_B2B</t>
  </si>
  <si>
    <t>Signify_West_Secondary_B2B</t>
  </si>
  <si>
    <t>FAM_Home_B2B</t>
  </si>
  <si>
    <t>Pageindustries_Attibele_B2B</t>
  </si>
  <si>
    <t>Goyal_Cargo_B2B</t>
  </si>
  <si>
    <t>Goyal Cargo Logistics</t>
  </si>
  <si>
    <t>XIAOMI_DBG_B2B</t>
  </si>
  <si>
    <t>CULTSPORT_B2B</t>
  </si>
  <si>
    <t>Flipkart_RO</t>
  </si>
  <si>
    <t>CD_BEVERAGES_JAI_B2B</t>
  </si>
  <si>
    <t>SCRAFT UNIWORLD HYGIENE OPC PRIVATE LIMITED</t>
  </si>
  <si>
    <t>Signify_North_Secondary_B2B</t>
  </si>
  <si>
    <t>Seshasaai_MH_B2B</t>
  </si>
  <si>
    <t>Seshasaai Technologies limited</t>
  </si>
  <si>
    <t>XIAOMI_PADGET_B2B</t>
  </si>
  <si>
    <t>Himalaya_RM_B2B</t>
  </si>
  <si>
    <t>CAFE_COFFEE_HYD_B2B</t>
  </si>
  <si>
    <t xml:space="preserve">PUMA_RETAIL_B2B </t>
  </si>
  <si>
    <t>JAGDAMBA CUTLARY LIMITED</t>
  </si>
  <si>
    <t>Signify_South_primary_B2B</t>
  </si>
  <si>
    <t>CAFE_COFFEE_CSK_B2B</t>
  </si>
  <si>
    <t>CD_BEVERAGES_KOL_B2B</t>
  </si>
  <si>
    <t>CAFE_COFFEE_GUW_B2B</t>
  </si>
  <si>
    <t>JQR SPORTS INDIA PRIVATE LIMITED</t>
  </si>
  <si>
    <t>METRO_ECOM_B2B</t>
  </si>
  <si>
    <t>Wockhardt_Sample_B2B</t>
  </si>
  <si>
    <t>Rare_Rabbit_RTV_B2B</t>
  </si>
  <si>
    <t>VideoCommerce_B2B</t>
  </si>
  <si>
    <t>Pageindustries_Hoskote_B2B</t>
  </si>
  <si>
    <t>GULAB_BLR_B2B</t>
  </si>
  <si>
    <t>Hamilton Sciences Private Limited</t>
  </si>
  <si>
    <t>CULTSPORT_MH_B2B</t>
  </si>
  <si>
    <t>Harisha</t>
  </si>
  <si>
    <t>-</t>
  </si>
  <si>
    <t>Pallavi</t>
  </si>
  <si>
    <t>Near Churn</t>
  </si>
  <si>
    <t>steps</t>
  </si>
  <si>
    <t>churn client</t>
  </si>
  <si>
    <t>top 20</t>
  </si>
  <si>
    <t>bottom 20</t>
  </si>
  <si>
    <t>near churn</t>
  </si>
  <si>
    <t>make a number filter in the  Rev% column and apply the logic [-0.7].</t>
  </si>
  <si>
    <t>take top 20 rev numbers in mar-apr diff column</t>
  </si>
  <si>
    <t>take bottom 20 rev numbers in mar-apr diff column</t>
  </si>
  <si>
    <t>RAMRAJ_B2B</t>
  </si>
  <si>
    <t>Bharatpe_B2B</t>
  </si>
  <si>
    <t>T.T. Limited</t>
  </si>
  <si>
    <t>VRS ALL CARGO PACKERS AND MOVERS PRIVATE LIMITED</t>
  </si>
  <si>
    <t>HI-FI PRINTERS</t>
  </si>
  <si>
    <t>ADL International</t>
  </si>
  <si>
    <t>NSHIP_B2B</t>
  </si>
  <si>
    <t>ASIAN_FOOTWEARS_B2B</t>
  </si>
  <si>
    <t>FOUR_ACES_B2B</t>
  </si>
  <si>
    <t>KUMAR_CAR_BANGALORE_B2B</t>
  </si>
  <si>
    <t>LADHURAM_B2B</t>
  </si>
  <si>
    <t>DHANASHREE_B2B</t>
  </si>
  <si>
    <t>DHANASHREE ELECTRONICS LTD</t>
  </si>
  <si>
    <t>RUPA_COMPANY_B2B</t>
  </si>
  <si>
    <t>THE_EARTH_B2B</t>
  </si>
  <si>
    <t>KEVA_KAIPO_B2B</t>
  </si>
  <si>
    <t>VELMOC_B2B</t>
  </si>
  <si>
    <t>VELMOC INTERNATIONAL</t>
  </si>
  <si>
    <t>KAMDHENU_B2B</t>
  </si>
  <si>
    <t>BENETTON_B2B</t>
  </si>
  <si>
    <t>HIKE_STORE_B2B</t>
  </si>
  <si>
    <t>LOSUNG_360_B2B</t>
  </si>
  <si>
    <t>TBJ_IMPEX_B2B</t>
  </si>
  <si>
    <t>Zebronics_Ecom_B2B</t>
  </si>
  <si>
    <t>ORIENT_PACK_B2B</t>
  </si>
  <si>
    <t>NUVOGUE_B2B</t>
  </si>
  <si>
    <t>GALA_B2B</t>
  </si>
  <si>
    <t>HOMESTRAP_B2B</t>
  </si>
  <si>
    <t>SANJAY_POLYMERS_B2B</t>
  </si>
  <si>
    <t>YASIN_COURIER_B2B</t>
  </si>
  <si>
    <t>BROEKMAN_B2B</t>
  </si>
  <si>
    <t>CROP_CARE_B2B</t>
  </si>
  <si>
    <t>CBS_PUBLISHERS_B2B</t>
  </si>
  <si>
    <t>SEIBERT_B2B</t>
  </si>
  <si>
    <t>GLS_FILMS_B2B</t>
  </si>
  <si>
    <t>FAMOUS_ROADLINES_B2B</t>
  </si>
  <si>
    <t>Shiproot_B2B</t>
  </si>
  <si>
    <t>SASASA_B2B</t>
  </si>
  <si>
    <t>MANASH_B2B</t>
  </si>
  <si>
    <t>SHATAB_B2B</t>
  </si>
  <si>
    <t>KALYANIDIGITEC_B2B</t>
  </si>
  <si>
    <t>MOXIE_B2B</t>
  </si>
  <si>
    <t>TECHNO_SPORTSWEAR_B2B</t>
  </si>
  <si>
    <t>ZIVORE_B2B</t>
  </si>
  <si>
    <t>ECOVERVA_B2B</t>
  </si>
  <si>
    <t>BLEND_B2B</t>
  </si>
  <si>
    <t>DELNET_CONNECT_B2B</t>
  </si>
  <si>
    <t>GAINT_LOGISTIC_B2B</t>
  </si>
  <si>
    <t>IMEX_PLASTICS_B2B</t>
  </si>
  <si>
    <t>TRUEX_LOGISTIC_B2B</t>
  </si>
  <si>
    <t>ARV_INDUSTRIES_B2B</t>
  </si>
  <si>
    <t>RAPID_REVERSE_B2B</t>
  </si>
  <si>
    <t>BULLWORK_MOBILITY_B2B</t>
  </si>
  <si>
    <t>ARAV_EXPORTS_B2B</t>
  </si>
  <si>
    <t>EASTERN_COTTAGE_B2B</t>
  </si>
  <si>
    <t>IBall_Ecom_B2B</t>
  </si>
  <si>
    <t>PREFEX_B2B</t>
  </si>
  <si>
    <t>INNISFREE_B2B</t>
  </si>
  <si>
    <t>KING_CORE_B2B</t>
  </si>
  <si>
    <t>SANWARIYA_B2B</t>
  </si>
  <si>
    <t>GST_B2B</t>
  </si>
  <si>
    <t>SUMUKH_ENTERPRISE_B2B</t>
  </si>
  <si>
    <t>NANDI_LOGISTIC_B2B</t>
  </si>
  <si>
    <t>SUTTON_B2B</t>
  </si>
  <si>
    <t>LOTUS_BLISS_B2B</t>
  </si>
  <si>
    <t>PIKALL_B2B</t>
  </si>
  <si>
    <t>GRAND_SPEED_B2B</t>
  </si>
  <si>
    <t>VGS_ENTERPRISES_B2B</t>
  </si>
  <si>
    <t>GAARVI_B2B</t>
  </si>
  <si>
    <t>JINDAL_B2B</t>
  </si>
  <si>
    <t>LOADNETIC_B2B</t>
  </si>
  <si>
    <t>NONA_B2B</t>
  </si>
  <si>
    <t>VS_PRODUCTS_B2B</t>
  </si>
  <si>
    <t>KOPYBRIGHT_B2B</t>
  </si>
  <si>
    <t>AMAR_BIO_B2B</t>
  </si>
  <si>
    <t>RELIABLE_B2B</t>
  </si>
  <si>
    <t>Himalaya_FG_B2B</t>
  </si>
  <si>
    <t>CREATIVE_SHADOWS_B2B</t>
  </si>
  <si>
    <t>URBAN_STAR_6_B2B</t>
  </si>
  <si>
    <t>MANASH LIFESTYLE PRIVATE LIMITED</t>
  </si>
  <si>
    <t>BENETTON INDIA PRIVATE LIMITED</t>
  </si>
  <si>
    <t>ZEBRONICS INDIA PRIVATE LIMITED</t>
  </si>
  <si>
    <t>TECHNO SPORTSWEAR PRIVATE LIMITED</t>
  </si>
  <si>
    <t>ARV INDUSTRIES</t>
  </si>
  <si>
    <t>GLS FILMS INDUSTRIES PRIVATE LIMITED</t>
  </si>
  <si>
    <t>ASIAN FOOTWEARS PRIVATE LIMITED</t>
  </si>
  <si>
    <t>THE EARTH STORE</t>
  </si>
  <si>
    <t>TBJ IMPEX PRIVATE LIMITED</t>
  </si>
  <si>
    <t>RUPA &amp; COMPANY LIMITED</t>
  </si>
  <si>
    <t>JINDAL FINE INDUSTRIES</t>
  </si>
  <si>
    <t>GAINT LOGISTIC PRIVATE LIMITED</t>
  </si>
  <si>
    <t>PIKALL LOGISTICS MANAGEMENT LLP</t>
  </si>
  <si>
    <t>ShaTab Consulting and Distribution Private Limited</t>
  </si>
  <si>
    <t>BLEND COLOURS PRIVATE LIMITED</t>
  </si>
  <si>
    <t>TRUEX LOGISTIC SERVICES PRIVATE LIMITED</t>
  </si>
  <si>
    <t>BEST IT WORLD INDIA PVT. LTD</t>
  </si>
  <si>
    <t>FAMOUS ROADLINES</t>
  </si>
  <si>
    <t>FREUDENBERG GALA HOUSEHOLD PRODUCT PRIVATE LIMITED</t>
  </si>
  <si>
    <t>INNISFREE COSMETICS INDIA PVT. LTD</t>
  </si>
  <si>
    <t>GAARVI TRADING COMPANY</t>
  </si>
  <si>
    <t>C B S PUBLISHERS AND DISTRIBUTORS PRIVATE
LIMITED</t>
  </si>
  <si>
    <t>KING CORE</t>
  </si>
  <si>
    <t>GRAND SPEED NETWORK PRIVATE LIMITED</t>
  </si>
  <si>
    <t>RAPID REVERSE PRIVATE LIMITED</t>
  </si>
  <si>
    <t>HIKE STORE</t>
  </si>
  <si>
    <t>EASTERN COTTAGE SNACKS PRIVATE LIMITED</t>
  </si>
  <si>
    <t>BULLWORK MOBILITY PRIVATE LIMITED</t>
  </si>
  <si>
    <t>Reliable International</t>
  </si>
  <si>
    <t>KOPYBRIGHT INDIA LIMITED</t>
  </si>
  <si>
    <t>SUTTON CORP PRIVATE LIMITED</t>
  </si>
  <si>
    <t>SEIBERT HEALTHCARE INDIA PRIVATE LIMITED</t>
  </si>
  <si>
    <t>LOTUS BLISS</t>
  </si>
  <si>
    <t>Four Aces Fashion House Private Limited</t>
  </si>
  <si>
    <t>YASIN COURIER</t>
  </si>
  <si>
    <t>SANWARIYA ARTS</t>
  </si>
  <si>
    <t>CROP CARE PESTICIDES INDIA PVT LTD</t>
  </si>
  <si>
    <t>ARAV EXPORTS PRIVATE LIMITED</t>
  </si>
  <si>
    <t>ORIENT PACK N PRINT</t>
  </si>
  <si>
    <t>NANDI LOGISTIC</t>
  </si>
  <si>
    <t>SANJAY POLYMERS</t>
  </si>
  <si>
    <t>BROEKMAN LOGISTICS INDIA PRIVATE LIMITED</t>
  </si>
  <si>
    <t>Moxie Enterprises</t>
  </si>
  <si>
    <t>IMEX PLASTICS INDIA PRIVATE LIMITED</t>
  </si>
  <si>
    <t>V S PRODUCTS PRIVATE LIMITED</t>
  </si>
  <si>
    <t>Homestrap Fabric Furnishing Limited</t>
  </si>
  <si>
    <t>ECOVERVA E-WASTE RECYCLING PRIVATE LIMITED</t>
  </si>
  <si>
    <t>KALYANIDIGITEC PRIVATE LIMITED</t>
  </si>
  <si>
    <t>LOADNETIC SOLUTIONS PRIVATE LIMITED</t>
  </si>
  <si>
    <t>Shiproot Logistics LLP</t>
  </si>
  <si>
    <t>AMAR BIO ORGANICS INDIA PVT LTD</t>
  </si>
  <si>
    <t>PRAKASH AIR FREIGHT INDIA PRIVATE LIMITED</t>
  </si>
  <si>
    <t>NUVOGUE CREATIONS PRIVATE LIMITED</t>
  </si>
  <si>
    <t>SUMUKH ENTERPRISE</t>
  </si>
  <si>
    <t>NSHIP LOGISTICS AND TRADING PRIVATE LIMITED</t>
  </si>
  <si>
    <t>KEVA KAIPO INDUSTRIES PRIVATE LIMITED</t>
  </si>
  <si>
    <t>NONA LIFESTYLE PRIVATE LIMITED</t>
  </si>
  <si>
    <t>Kamdhenu Colour and Coatings Limited</t>
  </si>
  <si>
    <t>GST LOGISTIC</t>
  </si>
  <si>
    <t>DELNET CONNECT LLP</t>
  </si>
  <si>
    <t>VGS Enterprises</t>
  </si>
  <si>
    <t>VGS ENTERPRISES</t>
  </si>
  <si>
    <t>LOSUNG 360 PRIVATE LIMITED</t>
  </si>
  <si>
    <t>SASASA INTERNATIONAL PRIVATE LIMITED</t>
  </si>
  <si>
    <t>LADHURAM TOSHNIWAL AND SONS ELECTRICALS PRIVATE LIMITED</t>
  </si>
  <si>
    <t>Client code</t>
  </si>
  <si>
    <t>Launch year</t>
  </si>
  <si>
    <t>Ola Electric Technologies Private Limited</t>
  </si>
  <si>
    <t>New client (May'26)</t>
  </si>
  <si>
    <t>ARVIND LIFESTYLE BRANDS LIMITED</t>
  </si>
  <si>
    <t>new client(mar'25)</t>
  </si>
  <si>
    <t>GRACIOUS LOGISTICS AND WAREHOUSE PRIVATE LIMITED</t>
  </si>
  <si>
    <t>new client (may'25)</t>
  </si>
  <si>
    <t>EurekaForbes_Bangalore_B2B</t>
  </si>
  <si>
    <t>New client (jun'25)</t>
  </si>
  <si>
    <t>new client (Jul'25)</t>
  </si>
  <si>
    <t>EurekaForbes_Dehradun_B2B</t>
  </si>
  <si>
    <t>SOUTHERN HEALTH FOODS PRIVATE LIMITED</t>
  </si>
  <si>
    <t>ARVIND YOUTH BRANDS PRIVATE LIMITED</t>
  </si>
  <si>
    <t>Griffen Logistics</t>
  </si>
  <si>
    <t>CAMPUSSUTRA RETAIL PRIVATE LIMITED</t>
  </si>
  <si>
    <t>PUMA_RETAIL_B2B</t>
  </si>
  <si>
    <t>PICKRR TECHNOLOGIES PRIVATE LIMITED</t>
  </si>
  <si>
    <t>JK_GYPSUM_B2B</t>
  </si>
  <si>
    <t>revival (May'26)</t>
  </si>
  <si>
    <t>ARVIND FASHIONS LIMITED</t>
  </si>
  <si>
    <t>Zebronics_IGST_B2B</t>
  </si>
  <si>
    <t>KORES_INBOUND_B2B</t>
  </si>
  <si>
    <t>HOLISTIQUE BEAUTY PRODUCTS PRIVATE LIMITED</t>
  </si>
  <si>
    <t>MANASH_WH_B2B</t>
  </si>
  <si>
    <t>LUX_LYRA_ECOM_B2B</t>
  </si>
  <si>
    <t>EurekaForbes_Bhubneswar_B2B</t>
  </si>
  <si>
    <t>IBall_IGST_B2B</t>
  </si>
  <si>
    <t>EurekaForbes_Hyderabad_B2B</t>
  </si>
  <si>
    <t>WOCKHARDT LIMITED</t>
  </si>
  <si>
    <t>Metro Brands Limited</t>
  </si>
  <si>
    <t>EurekaForbes_Sonipat_B2B</t>
  </si>
  <si>
    <t>MNM POLYMERS</t>
  </si>
  <si>
    <t>EurekaForbes_Guwahati_B2B</t>
  </si>
  <si>
    <t>KOTTY LIFESTYLE PRIVATE LIMITED</t>
  </si>
  <si>
    <t>RELIABLE INTERNATIONAL</t>
  </si>
  <si>
    <t>EurekaForbes_Jaipur_B2B</t>
  </si>
  <si>
    <t>CJ_DARCL_CROCS_B2B</t>
  </si>
  <si>
    <t>ASIA PARCEL SERVICE PRIVATE LIMITED</t>
  </si>
  <si>
    <t>EurekaForbes_Kolkata_B2B</t>
  </si>
  <si>
    <t>SHIPCLUES TECHNOLOGIES PRIVATE LIMITED</t>
  </si>
  <si>
    <t>SHIVAM INCORPORATION</t>
  </si>
  <si>
    <t>CAFE_COFFEE_JAI_B2B</t>
  </si>
  <si>
    <t>EurekaForbes_Ranchi_B2B</t>
  </si>
  <si>
    <t>new client (May'26)</t>
  </si>
  <si>
    <t>EurekaForbes_Patna_B2B</t>
  </si>
  <si>
    <t>ARVIND LIFESTYLE_RTV_KG</t>
  </si>
  <si>
    <t>NP Green Electric Vehicles Private Limited</t>
  </si>
  <si>
    <t>Zebronics_StockTransfer_B2B</t>
  </si>
  <si>
    <t>KAMDHENU COLOUR AND COATINGS LIMITED</t>
  </si>
  <si>
    <t>CD_BEVERAGES_BLR_B2B</t>
  </si>
  <si>
    <t>new client (may'26)</t>
  </si>
  <si>
    <t>EurekaForbes_Ahmedabad_B2B</t>
  </si>
  <si>
    <t>Revival (MAR'26)</t>
  </si>
  <si>
    <t>EurekaForbes_Bhiwandi_B2B</t>
  </si>
  <si>
    <t>EurekaForbes_Indore_B2B</t>
  </si>
  <si>
    <t>Dollar-North</t>
  </si>
  <si>
    <t>OLA_RVP_B2B</t>
  </si>
  <si>
    <t>OPCOMMERCE ONLINE PRIVATE LIMITED</t>
  </si>
  <si>
    <t>EurekaForbes_Raipur_B2B</t>
  </si>
  <si>
    <t>Raymond_Ltd_BHI</t>
  </si>
  <si>
    <t>Near churn</t>
  </si>
  <si>
    <t>Mar RPK</t>
  </si>
  <si>
    <t>Mar vs Apr</t>
  </si>
  <si>
    <t>Keshav</t>
  </si>
  <si>
    <t>Padma</t>
  </si>
  <si>
    <t>Sanchit</t>
  </si>
  <si>
    <t>Rahul</t>
  </si>
  <si>
    <t>Mohit</t>
  </si>
  <si>
    <t>Gaurav</t>
  </si>
  <si>
    <t>Tasleem</t>
  </si>
  <si>
    <t>Pratik</t>
  </si>
  <si>
    <t>Pooja</t>
  </si>
  <si>
    <t>Avinash</t>
  </si>
  <si>
    <t>Dheeraj</t>
  </si>
  <si>
    <t>Gaurav Narayan</t>
  </si>
  <si>
    <t>Deepika</t>
  </si>
  <si>
    <t>Kaushal</t>
  </si>
  <si>
    <t>Aman</t>
  </si>
  <si>
    <t>Harshith S</t>
  </si>
  <si>
    <t>Chandresh</t>
  </si>
  <si>
    <t>Deepak</t>
  </si>
  <si>
    <t>Abhishek</t>
  </si>
  <si>
    <t>Soumya</t>
  </si>
  <si>
    <t>Pramod</t>
  </si>
  <si>
    <t>Saud</t>
  </si>
  <si>
    <t>Sudhanshu</t>
  </si>
  <si>
    <t>Shekhar</t>
  </si>
  <si>
    <t>Vishwas</t>
  </si>
  <si>
    <t>Arka</t>
  </si>
  <si>
    <t>Anand</t>
  </si>
  <si>
    <t>Ashish</t>
  </si>
  <si>
    <t>Rakesh S</t>
  </si>
  <si>
    <t>Anbu</t>
  </si>
  <si>
    <t>Subhash</t>
  </si>
  <si>
    <t>Anshul</t>
  </si>
  <si>
    <t>Balu</t>
  </si>
  <si>
    <t>Rohith Bharathy</t>
  </si>
  <si>
    <t>Nadir</t>
  </si>
  <si>
    <t>Raj Kamal</t>
  </si>
  <si>
    <t>Sahilesh</t>
  </si>
  <si>
    <t>Rajkumar</t>
  </si>
  <si>
    <t>Ashray</t>
  </si>
  <si>
    <t>KAUSHAL</t>
  </si>
  <si>
    <t>shekhar</t>
  </si>
  <si>
    <t>Amrit</t>
  </si>
  <si>
    <t>aman</t>
  </si>
  <si>
    <t>pradeep</t>
  </si>
  <si>
    <t xml:space="preserve">Chandresh </t>
  </si>
  <si>
    <t xml:space="preserve">Shekhar </t>
  </si>
  <si>
    <t xml:space="preserve">Subhash </t>
  </si>
  <si>
    <t>Chandresh Sharma</t>
  </si>
  <si>
    <t>Akra</t>
  </si>
  <si>
    <t>Anand Elango</t>
  </si>
  <si>
    <t>Rahul Jaiswal</t>
  </si>
  <si>
    <t xml:space="preserve">Vishwas </t>
  </si>
  <si>
    <t>Ashish Kumar Pandey</t>
  </si>
  <si>
    <t>Subhash chandra</t>
  </si>
  <si>
    <t>anshul</t>
  </si>
  <si>
    <t>Amar</t>
  </si>
  <si>
    <t xml:space="preserve">Sudhanshu </t>
  </si>
  <si>
    <t>ACCUMAX LAB DEVICES PRIVATE LIMITED</t>
  </si>
  <si>
    <t>ADITYA INFOTECH LIMITED</t>
  </si>
  <si>
    <t>AJANTA SHOES (INDIA) PRIVATE LIMITED</t>
  </si>
  <si>
    <t>ARSH EXPRESS</t>
  </si>
  <si>
    <t>ASMR BITES PRIVATE LIMITED</t>
  </si>
  <si>
    <t>B. VISHAL CORPORATION</t>
  </si>
  <si>
    <t>BEST IT WORLD (INDIA) PRIVATE LIMITED</t>
  </si>
  <si>
    <t>BIGHUB SOLUTIONS PRIVATE LIMITED</t>
  </si>
  <si>
    <t>BRIOTA BRANDS PRIVATE LIMITED</t>
  </si>
  <si>
    <t>DHANASHREE ELECTRONICS LTD.</t>
  </si>
  <si>
    <t>DVC EXPRESS LOGISTICS PRIVATE LIMITED</t>
  </si>
  <si>
    <t>Easynxt Logistics Private Limited</t>
  </si>
  <si>
    <t>FAB HR SOLUTION PRIVATE LIMITED</t>
  </si>
  <si>
    <t>FLEXI GO INDIA PRIVATE LIMITED</t>
  </si>
  <si>
    <t>GLEN APPLIANCES PRIVATE LIMITED</t>
  </si>
  <si>
    <t>GOAT Lifesciences Private Limited</t>
  </si>
  <si>
    <t>HORNBACK E-MOBILITY PRIVATE LIMITED</t>
  </si>
  <si>
    <t>INNISFREE COSMETICS INDIA PRIVATE LIMITED</t>
  </si>
  <si>
    <t>JRN EXPRESS</t>
  </si>
  <si>
    <t>KIYAN ENTERPRISES</t>
  </si>
  <si>
    <t>KROMA ELECTRICAL TARGET</t>
  </si>
  <si>
    <t>LEEMBOODI FASHION</t>
  </si>
  <si>
    <t>MEDITREE LIFECARE LLP</t>
  </si>
  <si>
    <t>MFORMILLET FOODS PRIVATE LIMITED</t>
  </si>
  <si>
    <t>MICROTEK INTERNATIONAL PRIVATE LIMITED</t>
  </si>
  <si>
    <t>MOREPEN LABORATORIES LIMITED</t>
  </si>
  <si>
    <t>NANDINI SALES CORPORATION</t>
  </si>
  <si>
    <t>NURECA LIMITED</t>
  </si>
  <si>
    <t>NUTRISENSE AGRO PRODUCTS PRIVATE LIMITED</t>
  </si>
  <si>
    <t>OM SAI ENTERPRISES</t>
  </si>
  <si>
    <t>PALEX EXPRESS SERVICES PRIVATE LIMITED</t>
  </si>
  <si>
    <t>Quantico Global India Private Limited</t>
  </si>
  <si>
    <t>R R ENTERPRISES</t>
  </si>
  <si>
    <t>RASHI PERIPHERALS LIMITED</t>
  </si>
  <si>
    <t>RISO INDIA PRIVATE LIMITED</t>
  </si>
  <si>
    <t>ROMSONS PRIME PRIVATE LIMITED</t>
  </si>
  <si>
    <t>SAVANI TEXTILE INDUSTRIES PRIVATE LIMITED</t>
  </si>
  <si>
    <t>SEOUL IMPEX</t>
  </si>
  <si>
    <t>SHIPKART SHIPPING</t>
  </si>
  <si>
    <t>SHOEFLY ENTERPRISES</t>
  </si>
  <si>
    <t>SHRIRAM FINANCE LIMITED</t>
  </si>
  <si>
    <t>SIMK LABELS PRIVATE LIMITED</t>
  </si>
  <si>
    <t>SMILEPHILE HEALTHCARE PRIVATE LIMITED</t>
  </si>
  <si>
    <t>TAPFIT LIFESTYLES</t>
  </si>
  <si>
    <t>TCE LOGISTICS</t>
  </si>
  <si>
    <t>TIBREWALA ELECTRONICS LIMITED</t>
  </si>
  <si>
    <t>TOTTAL EXPRESS &amp; FREIGHT FORWARDING LLP</t>
  </si>
  <si>
    <t>TZMO INDIA SOUTH PRIVATE LIMITED</t>
  </si>
  <si>
    <t>UNDERME BRANDS PRIVATE LIMITED</t>
  </si>
  <si>
    <t>VIP INDUSTRIES LIMITED</t>
  </si>
  <si>
    <t>VS MANI PRIVATE LIMITED</t>
  </si>
  <si>
    <t>Bill to Business</t>
  </si>
  <si>
    <t>Legal Name</t>
  </si>
  <si>
    <t>BD</t>
  </si>
  <si>
    <t>North</t>
  </si>
  <si>
    <t>AADI_SHAKTI_B2B</t>
  </si>
  <si>
    <t>AADI SHAKTI ENTERPRISES</t>
  </si>
  <si>
    <t>New client (Jun'26)</t>
  </si>
  <si>
    <t>South</t>
  </si>
  <si>
    <t>Vandana</t>
  </si>
  <si>
    <t>ACCUMAX_LAB_B2B</t>
  </si>
  <si>
    <t>West</t>
  </si>
  <si>
    <t>ADITYA_INFOTECH_B2B</t>
  </si>
  <si>
    <t>East</t>
  </si>
  <si>
    <t>AJANTA_SHOES_B2B</t>
  </si>
  <si>
    <t>sahilesh</t>
  </si>
  <si>
    <t>ARSH_EXPRESS_B2B</t>
  </si>
  <si>
    <t>Lokesh</t>
  </si>
  <si>
    <t>ASMR_BITES_B2B</t>
  </si>
  <si>
    <t>B_VISHAL_CORP_B2B</t>
  </si>
  <si>
    <t>Amit</t>
  </si>
  <si>
    <t>BIGHUB_B2B</t>
  </si>
  <si>
    <t>Uma</t>
  </si>
  <si>
    <t>BRIOTA_B2B</t>
  </si>
  <si>
    <t>BROEKMAN_CJB_B2B</t>
  </si>
  <si>
    <t>C B S PUBLISHERS AND DISTRIBUTORS PRIVATE LIMITED</t>
  </si>
  <si>
    <t>CD_BEVERAGES_IND_B2B</t>
  </si>
  <si>
    <t>Century_Ply_B2B</t>
  </si>
  <si>
    <t>CENTURY PLYBOARDS (INDIA) LIMITED</t>
  </si>
  <si>
    <t>Jun'24</t>
  </si>
  <si>
    <t>DVC_EXPRESS_B2B</t>
  </si>
  <si>
    <t>EASYNXT_B2B</t>
  </si>
  <si>
    <t>FABHR_B2B</t>
  </si>
  <si>
    <t>FLEXI_GO_B2B</t>
  </si>
  <si>
    <t>FORTUNE MARKETING PRIVATE LIMITED</t>
  </si>
  <si>
    <t>FREECULTR_B2B</t>
  </si>
  <si>
    <t>GLEN_APPLIANCES_B2B</t>
  </si>
  <si>
    <t>GOAT_B2B</t>
  </si>
  <si>
    <t>HORNBACK_B2B</t>
  </si>
  <si>
    <t>south</t>
  </si>
  <si>
    <t>JRN_EXPRESS_B2B</t>
  </si>
  <si>
    <t>KIYAN_ENTERPRISES_B2B</t>
  </si>
  <si>
    <t>KROMA_ENTERPRISES_B2B_R</t>
  </si>
  <si>
    <t>LEEMBODI_FASHION_B2B</t>
  </si>
  <si>
    <t>west</t>
  </si>
  <si>
    <t>LUX_LYRA_B2B</t>
  </si>
  <si>
    <t>MANASH_AD_B2B</t>
  </si>
  <si>
    <t>MANASH_B2B_DIRECT</t>
  </si>
  <si>
    <t>MANASH_B2B_STORE</t>
  </si>
  <si>
    <t>MARS_COSMETICS_B2B</t>
  </si>
  <si>
    <t>MARS COSMETICS PRIVATE LIMITED</t>
  </si>
  <si>
    <t>MEDITREE_AMD_B2B</t>
  </si>
  <si>
    <t>MEDITREE_B2B</t>
  </si>
  <si>
    <t>MFOR_MILLET_B2B</t>
  </si>
  <si>
    <t>MICROTEK_B2B</t>
  </si>
  <si>
    <t>MOREPEN_B2B</t>
  </si>
  <si>
    <t>NANDINI_B2B</t>
  </si>
  <si>
    <t>NUMAX_ENERGY_B2B</t>
  </si>
  <si>
    <t>NUMAX ENERGY SOLUTIONS</t>
  </si>
  <si>
    <t>NURECA_LIMITED_B2B</t>
  </si>
  <si>
    <t>NUTRISENSE_B2B</t>
  </si>
  <si>
    <t>OM_SAI_ENTERPRISES_B2B</t>
  </si>
  <si>
    <t>PALEX_B2B</t>
  </si>
  <si>
    <t>gaurav narayan</t>
  </si>
  <si>
    <t>QUANTICO_B2B</t>
  </si>
  <si>
    <t>RASHI_PERIPHERALS_B2B</t>
  </si>
  <si>
    <t>RISO_B2B</t>
  </si>
  <si>
    <t>ROMSONS_PRIME_B2B</t>
  </si>
  <si>
    <t>RR_ENTERPRISES_B2B</t>
  </si>
  <si>
    <t>SAVANI_TEXTILE_B2B</t>
  </si>
  <si>
    <t>SEOUL_IMPEX_B2B</t>
  </si>
  <si>
    <t>SHIPKART_B2B</t>
  </si>
  <si>
    <t>SHOEFLY_B2B</t>
  </si>
  <si>
    <t>SHRIRAM_B2B</t>
  </si>
  <si>
    <t>SIMK_LABELS_B2B</t>
  </si>
  <si>
    <t>SMILEPHILE_B2B</t>
  </si>
  <si>
    <t>TAPFIT_LIFESTYLES_B2B</t>
  </si>
  <si>
    <t>TCE_LOGISTICS_B2B</t>
  </si>
  <si>
    <t>TEC_LOG_B2B</t>
  </si>
  <si>
    <t>TEC Log Services</t>
  </si>
  <si>
    <t>TIBREWALA_B2B</t>
  </si>
  <si>
    <t>TOTTAL_B2B</t>
  </si>
  <si>
    <t>deepika</t>
  </si>
  <si>
    <t>TZMO_B2B</t>
  </si>
  <si>
    <t>vanheusen_NEL_B2B</t>
  </si>
  <si>
    <t>revival (Jun'26)</t>
  </si>
  <si>
    <t>VIP_B2B</t>
  </si>
  <si>
    <t>VS_MANI_B2B</t>
  </si>
  <si>
    <t>onboarding month</t>
  </si>
  <si>
    <t>Region</t>
  </si>
  <si>
    <t>TON %</t>
  </si>
  <si>
    <t>TON Diff</t>
  </si>
  <si>
    <t>Live</t>
  </si>
  <si>
    <t>code</t>
  </si>
  <si>
    <t>kam</t>
  </si>
  <si>
    <t>10-07-202612:15</t>
  </si>
  <si>
    <t>KingCore</t>
  </si>
  <si>
    <t>Century Plyboards India Limited</t>
  </si>
  <si>
    <t>Jul Final chargeable weight (kg)</t>
  </si>
  <si>
    <t>Jul Total Revenue</t>
  </si>
  <si>
    <t>Jul RPK</t>
  </si>
  <si>
    <t xml:space="preserve">	T T Limited</t>
  </si>
  <si>
    <t>Aditya _Infotech_B2b</t>
  </si>
  <si>
    <t>COFFEE_DAY_B2B</t>
  </si>
  <si>
    <t>SHRI_KAMAKHYA_B2B</t>
  </si>
  <si>
    <t>JMD_VIRAG_B2B</t>
  </si>
  <si>
    <t>HUB_STORES_B2B</t>
  </si>
  <si>
    <t>BETTERLIFE_B2B</t>
  </si>
  <si>
    <t>NIPPONEXPRESS_B2B</t>
  </si>
  <si>
    <t>WET_AND_DRY_B2B</t>
  </si>
  <si>
    <t>LINC_ON_B2B</t>
  </si>
  <si>
    <t>WAREIQ_B2B</t>
  </si>
  <si>
    <t>LUXRIO_B2B</t>
  </si>
  <si>
    <t>KUMAR_B2B</t>
  </si>
  <si>
    <t>TEAKWOOD_B2B</t>
  </si>
  <si>
    <t>BOGGLETREE_B2B</t>
  </si>
  <si>
    <t>KHADI_B2B</t>
  </si>
  <si>
    <t>CRAFTVATIKA_B2B</t>
  </si>
  <si>
    <t>JET_GLOBAL_B2B</t>
  </si>
  <si>
    <t>SIDDHAM_B2B</t>
  </si>
  <si>
    <t>TEJ_EXPRESS_B2B</t>
  </si>
  <si>
    <t>TURTLE_B2B</t>
  </si>
  <si>
    <t>EKVIRA_LUD_B2B</t>
  </si>
  <si>
    <t>CARGOSAVVY_B2B</t>
  </si>
  <si>
    <t>CHASE_LIFESTYLE_B2B</t>
  </si>
  <si>
    <t>SPEAR_PACK_B2B</t>
  </si>
  <si>
    <t>LIVPURE_B2B</t>
  </si>
  <si>
    <t>AMITOJE_B2B</t>
  </si>
  <si>
    <t>NIMESH_B2B</t>
  </si>
  <si>
    <t>SAYAJI_B2B</t>
  </si>
  <si>
    <t>SRN_B2B</t>
  </si>
  <si>
    <t>REX_INDUSTRIES_B2B</t>
  </si>
  <si>
    <t>AFOUR_B2B</t>
  </si>
  <si>
    <t>ASHREY_B2B</t>
  </si>
  <si>
    <t>SME_EXPRESS_B2B</t>
  </si>
  <si>
    <t>SV_INTERNATIONAL_B2B</t>
  </si>
  <si>
    <t>AASHNA_CLUB_B2B</t>
  </si>
  <si>
    <t>SRI_ANJANEYA _B2B</t>
  </si>
  <si>
    <t>CDS_LOGISTICS_B2B</t>
  </si>
  <si>
    <t>MOTOVOLT_B2B</t>
  </si>
  <si>
    <t>SILVER_LEAF_B2B</t>
  </si>
  <si>
    <t>MAVEE_B2B</t>
  </si>
  <si>
    <t>HEALTHIUM_B2B</t>
  </si>
  <si>
    <t>TAPI_FRUIT_B2B</t>
  </si>
  <si>
    <t>SS_GLOBAL_B2B</t>
  </si>
  <si>
    <t>NEXAR_LOGISTIC_B2B</t>
  </si>
  <si>
    <t>METRO_RETAIL_B2B</t>
  </si>
  <si>
    <t>OZONE_B2B</t>
  </si>
  <si>
    <t>MAHAVIR_B2B</t>
  </si>
  <si>
    <t>JUPITER_LAMINATORS_B2B</t>
  </si>
  <si>
    <t>VETOQUINOL_B2B</t>
  </si>
  <si>
    <t>AIRLINE_TURBO_B2B</t>
  </si>
  <si>
    <t>FMI_LTD_B2B</t>
  </si>
  <si>
    <t>SAFARI_B2B</t>
  </si>
  <si>
    <t>SHRI KAMAKHYA FASHION WORKS HUF</t>
  </si>
  <si>
    <t>Shiplystic Pvt Ltd</t>
  </si>
  <si>
    <t>JMD VIRAG DECORE LLP</t>
  </si>
  <si>
    <t>HUB STORES INDIA PVT LTD</t>
  </si>
  <si>
    <t>BETTERLIFE HORIZONS PRIVATE LIMITED</t>
  </si>
  <si>
    <t>NIPPON EXPRESS (INDIA) PRIVATE LIMITED</t>
  </si>
  <si>
    <t>WET AND DRY PERSONAL CARE PRIVATE LIMITED</t>
  </si>
  <si>
    <t>LINC ON ECOMMERCE PRIVATE LIMITED</t>
  </si>
  <si>
    <t>WAREIQ LOGISTICS PRIVATE LIMITED</t>
  </si>
  <si>
    <t>Luxrio Designs</t>
  </si>
  <si>
    <t>KUMAR ENTERPRISES</t>
  </si>
  <si>
    <t>FOUR ACES FASHION HOUSE PRIVATE LIMITED</t>
  </si>
  <si>
    <t>TEAKWOOD</t>
  </si>
  <si>
    <t>BOGGLETREE TECHNOLOGIES PRIVATE LIMITED</t>
  </si>
  <si>
    <t>KHADI NATURAL</t>
  </si>
  <si>
    <t>CRAFTVATIKA PRIVATE LIMITED</t>
  </si>
  <si>
    <t>JET GLOBAL AIR AND CARGO LOGISTIC</t>
  </si>
  <si>
    <t>SIDDHAM CREATIONS</t>
  </si>
  <si>
    <t>TEJ EXPRESS SERVICES</t>
  </si>
  <si>
    <t>Turtle Limited</t>
  </si>
  <si>
    <t>CARGOSAVVY LOGISTICS PVT LTD</t>
  </si>
  <si>
    <t>CHASE LIFESTYLE PRIVATE LIMITED</t>
  </si>
  <si>
    <t>SPEAR PACK PRIVATE LIMITED</t>
  </si>
  <si>
    <t>LIVPURE SMART HOMES PRIVATE LIMITED</t>
  </si>
  <si>
    <t>AMITOJE INDIA PRIVATE LIMITED</t>
  </si>
  <si>
    <t>NIMESH ENTERPRISES</t>
  </si>
  <si>
    <t>SAYAJI FOODS PRIVATE LIMITED</t>
  </si>
  <si>
    <t>SRN LOGITECH PRIVATE LIMITED</t>
  </si>
  <si>
    <t>Rex Industries India Private Limited</t>
  </si>
  <si>
    <t>A FOUR ALL TECK WARE</t>
  </si>
  <si>
    <t>ASHREY LOGISTICS SOLUTION LLP</t>
  </si>
  <si>
    <t>SME EXPRESS</t>
  </si>
  <si>
    <t>SV INTERNATIONAL</t>
  </si>
  <si>
    <t>AASHNA CLUB CONCEPT MANAGEMENT PRIVATE LIMITED</t>
  </si>
  <si>
    <t>Sri Anjaneya Polymers India Pvt Ltd</t>
  </si>
  <si>
    <t>CDS LOGISTICS</t>
  </si>
  <si>
    <t>Motovolt Mobility Pvt Ltd</t>
  </si>
  <si>
    <t>SILVER LEAF TEA PRIVATE LIMITED</t>
  </si>
  <si>
    <t>Mavee Foods Private Limited</t>
  </si>
  <si>
    <t>HEALTHIUM MEDTECH LIMITED</t>
  </si>
  <si>
    <t>TAPI FRUIT PROCESSING LIMITED</t>
  </si>
  <si>
    <t>S S GLOBAL LOGISTICS</t>
  </si>
  <si>
    <t>NEXAR LOGISTIC PRIVATE LIMITED</t>
  </si>
  <si>
    <t>LADHURAM TOSHNIWAL AND SONS ELECTRICALS PRIVATE LI</t>
  </si>
  <si>
    <t>Metro Retail</t>
  </si>
  <si>
    <t>OZONE PHARMACEUTICALS LIMITED</t>
  </si>
  <si>
    <t>MAHAVIR TRANSPORT SERVICE</t>
  </si>
  <si>
    <t>JUPITER LAMINATORS PRIVATE LIMITED</t>
  </si>
  <si>
    <t>VETOQUINOL INDIA ANIMAL HEALTH PRIVATE LIMITED</t>
  </si>
  <si>
    <t>Airline Turbo Logistics India Private Limited</t>
  </si>
  <si>
    <t>FMI LTD</t>
  </si>
  <si>
    <t>GST Logistic</t>
  </si>
  <si>
    <t>INNISFREE COSMETICS INDIA PVT LTD</t>
  </si>
  <si>
    <t>Safari Industries</t>
  </si>
  <si>
    <t>New client (Jul'26)</t>
  </si>
  <si>
    <t>new  client (Aug'25)</t>
  </si>
  <si>
    <t>revival (JuL'26)</t>
  </si>
  <si>
    <t>New client  (Jul'26)</t>
  </si>
  <si>
    <t>Anjali</t>
  </si>
  <si>
    <t>Aditi</t>
  </si>
  <si>
    <t>Deepak Jha</t>
  </si>
  <si>
    <t>balu</t>
  </si>
  <si>
    <t>Suraj</t>
  </si>
  <si>
    <t>Kunal</t>
  </si>
  <si>
    <t>Jul Net Rev</t>
  </si>
  <si>
    <t>B2B Jul</t>
  </si>
  <si>
    <t>B2B Aug</t>
  </si>
  <si>
    <t>Jul rev</t>
  </si>
  <si>
    <t>Aug Net Rev</t>
  </si>
  <si>
    <t>HYUNDAI_GLOVIS_B2B</t>
  </si>
  <si>
    <t>GLOVIS INDIA PRIVATE LIMITED</t>
  </si>
  <si>
    <t>TITAN_WAT_BNG_B2B</t>
  </si>
  <si>
    <t>TITAN COMPANY LIMITED</t>
  </si>
  <si>
    <t>DOT_KEY_B2B</t>
  </si>
  <si>
    <t>DOT &amp; KEY WELLNESS LIMITED</t>
  </si>
  <si>
    <t>KONICA_CHN_PRN_B2B</t>
  </si>
  <si>
    <t>KONICA MINOLTA BUSINESS SOLUTIONS INDIA PRIVATE LIMITED</t>
  </si>
  <si>
    <t>MOUNTHILLS_B2B</t>
  </si>
  <si>
    <t>Mounthills Incorporation</t>
  </si>
  <si>
    <t>SUN_ORGANIC_B2B</t>
  </si>
  <si>
    <t>SUN ORGANIC INDUSTRIES PRIVATE LIMITED</t>
  </si>
  <si>
    <t>GEAR_B2B</t>
  </si>
  <si>
    <t>GEAR MERCHANDISE PRIVATE LIMITED</t>
  </si>
  <si>
    <t>KANHA_B2B</t>
  </si>
  <si>
    <t>KANHA HOME DECOR</t>
  </si>
  <si>
    <t>EJOT-OCTAQON_B2B</t>
  </si>
  <si>
    <t>EJOT-OCTAQON FASTENING SYSTEMS PRIVATE LIMITED</t>
  </si>
  <si>
    <t>TYNOR_B2B</t>
  </si>
  <si>
    <t>TYNOR ORTHOTICS PRIVATE LIMITED</t>
  </si>
  <si>
    <t>KKCL_B2B</t>
  </si>
  <si>
    <t>KEWAL KIRAN CLOTHING PRIVATE LIMITED</t>
  </si>
  <si>
    <t>OM_SAI_B2B</t>
  </si>
  <si>
    <t>OM SAI CARGO CORPORATION</t>
  </si>
  <si>
    <t>SIXTH_SENSE_B2B</t>
  </si>
  <si>
    <t>SIXTH SENSE</t>
  </si>
  <si>
    <t>MARKS&amp;SPENCER_B2B</t>
  </si>
  <si>
    <t>MARKS AND SPENCER RELIANCE INDIA PRIVATE LIMITED</t>
  </si>
  <si>
    <t>BANDHAN_BANK_B2B</t>
  </si>
  <si>
    <t>BANDHAN BANK LIMITED</t>
  </si>
  <si>
    <t>Shree_International_B2B</t>
  </si>
  <si>
    <t>SHREE INTERNATIONAL COURIER AND CARGO SERVICES</t>
  </si>
  <si>
    <t>UNIVERSAL_B2B</t>
  </si>
  <si>
    <t>UNIVERSAL CORPORATION LIMITED</t>
  </si>
  <si>
    <t>YORK_B2B</t>
  </si>
  <si>
    <t>YORK PRINT PRIVATE LIMITED</t>
  </si>
  <si>
    <t>OLIVEWARE_B2B</t>
  </si>
  <si>
    <t>SPEEDEX OVERSEAS PVT LTD</t>
  </si>
  <si>
    <t>NATURE_B2B</t>
  </si>
  <si>
    <t>NATURE MAGIC WORLD</t>
  </si>
  <si>
    <t>SAWAN_B2B</t>
  </si>
  <si>
    <t>SAWAN AGENCIES</t>
  </si>
  <si>
    <t>ONDESK_B2B</t>
  </si>
  <si>
    <t>ONDESK VENTURES PRIVATE LIMITED</t>
  </si>
  <si>
    <t>PT_LOGISTICS_B2B</t>
  </si>
  <si>
    <t>P AND T LOGISTICS</t>
  </si>
  <si>
    <t>MANANS_B2B</t>
  </si>
  <si>
    <t>MANAN'S COLLECTION HOUSE</t>
  </si>
  <si>
    <t>GARUDA_B2B</t>
  </si>
  <si>
    <t>GARUDA POLYFLEX FOODS PRIVATE LIMITED</t>
  </si>
  <si>
    <t>RIDDHI_B2B</t>
  </si>
  <si>
    <t>RIDDHI SIDDHI FABRICATION</t>
  </si>
  <si>
    <t>RECORN_FOODS_B2B</t>
  </si>
  <si>
    <t>RECORN FOODS PRIVATE LIMITED</t>
  </si>
  <si>
    <t>NUTRABAY_B2B</t>
  </si>
  <si>
    <t>NUTRABAY RETAIL PRIVATE LIMITED</t>
  </si>
  <si>
    <t>AJANTA_B2B</t>
  </si>
  <si>
    <t>AJANTA FOOTCARE INDIA PRIVATE LIMITED</t>
  </si>
  <si>
    <t>CORISE_B2B</t>
  </si>
  <si>
    <t>CORISE HEALTH CARE PRIVATE LIMITED</t>
  </si>
  <si>
    <t>JJ_MAHILA_B2B</t>
  </si>
  <si>
    <t>J J MAHILA GRUH UDHYOG</t>
  </si>
  <si>
    <t>HYPHEN_B2B</t>
  </si>
  <si>
    <t>HYPHEN GARMENTS PRIVATE LIMITED</t>
  </si>
  <si>
    <t>MK_INCORP_B2B</t>
  </si>
  <si>
    <t>M.K. INCORPORATION</t>
  </si>
  <si>
    <t>AQUAGENICS_B2B</t>
  </si>
  <si>
    <t>AQUAGENICS RESEARCH &amp; DEVELOPMENT INDIA PRIVATE LIMITED</t>
  </si>
  <si>
    <t>HS_STUDIO_B2B</t>
  </si>
  <si>
    <t>H &amp; S STUDIO LLP</t>
  </si>
  <si>
    <t>TIME_BOUND_B2B</t>
  </si>
  <si>
    <t>TIME BOUND</t>
  </si>
  <si>
    <t>SAMARA RETAIL INDIA PRIVATE LIMITED</t>
  </si>
  <si>
    <t>BENESWIFT_B2B</t>
  </si>
  <si>
    <t>BENESWIFT LOGISTICS SOLUTIONS</t>
  </si>
  <si>
    <t>VIDYA_WIRES_B2B</t>
  </si>
  <si>
    <t>VIDYA WIRES LIMITED</t>
  </si>
  <si>
    <t>SVR_B2B</t>
  </si>
  <si>
    <t>SVR ENTERPRISES</t>
  </si>
  <si>
    <t>ANKITA_B2B</t>
  </si>
  <si>
    <t>ANKITA LIFE STYLE PRIVATE LIMITED</t>
  </si>
  <si>
    <t>SHREE_TRADERS_B2B</t>
  </si>
  <si>
    <t>SHREE TRADERS</t>
  </si>
  <si>
    <t>USANA_B2B</t>
  </si>
  <si>
    <t>USANA HEALTH SCIENCES INDIA PRIVATE LIMITED</t>
  </si>
  <si>
    <t>SANKET_B2B</t>
  </si>
  <si>
    <t>SANKET FREIGHT EXPRESS AND LOGISTICS</t>
  </si>
  <si>
    <t>PRICOL_B2B</t>
  </si>
  <si>
    <t>PRICOL LOGISTICS PRIVATE LIMITED</t>
  </si>
  <si>
    <t>BLUESQUAD_B2B</t>
  </si>
  <si>
    <t>BLUESQUAD FASHION PRIVATE LIMITED</t>
  </si>
  <si>
    <t>TRISHA_B2B</t>
  </si>
  <si>
    <t>TRISHA EXPRESS PRIVATE LIMITED</t>
  </si>
  <si>
    <t>NASH_ENERGY_B2B</t>
  </si>
  <si>
    <t>NASH ENERGY (I) PRIVATE LIMITED</t>
  </si>
  <si>
    <t>MYSTIQUE_B2B</t>
  </si>
  <si>
    <t>Mystique Couture Private Limited</t>
  </si>
  <si>
    <t>KARGOSERVE_B2B</t>
  </si>
  <si>
    <t>KARGOSERVE</t>
  </si>
  <si>
    <t>NARO_B2B</t>
  </si>
  <si>
    <t>NARO ENTERPRISES</t>
  </si>
  <si>
    <t>SAFETAKE_B2B</t>
  </si>
  <si>
    <t>SAFETAKE LOGISTICS</t>
  </si>
  <si>
    <t>BEAATHO_B2B</t>
  </si>
  <si>
    <t>BEAATHO PRIVATE LIMITED</t>
  </si>
  <si>
    <t>ENCHANTE_BRANDS_B2B</t>
  </si>
  <si>
    <t>ENCHANTE BRANDS PRIVATE LIMITED</t>
  </si>
  <si>
    <t>DOOR_2_DOOR_B2B</t>
  </si>
  <si>
    <t>DOOR 2 DOOR CARGO SERVICES</t>
  </si>
  <si>
    <t>DIGITALAGE_RTV_B2B</t>
  </si>
  <si>
    <t>DIGITAL AGE RETAIL PRIVATE LIMITED</t>
  </si>
  <si>
    <t>New client (Aug'26)</t>
  </si>
  <si>
    <t>new client (Aug'26)</t>
  </si>
  <si>
    <t>BOLDFIT_B2B</t>
  </si>
  <si>
    <t>BLING BRANDS PRIVATE LIMITED</t>
  </si>
  <si>
    <t>get data</t>
  </si>
  <si>
    <t>Aug Total Revenue</t>
  </si>
  <si>
    <t>Aug Final chargeable weight (kg)</t>
  </si>
  <si>
    <t>Aug RPK</t>
  </si>
  <si>
    <t>Arun</t>
  </si>
  <si>
    <t>Preetam</t>
  </si>
  <si>
    <t>Kulpreet Singh</t>
  </si>
  <si>
    <t>Raja Siva Kumar</t>
  </si>
  <si>
    <t>Vikas Dubey</t>
  </si>
  <si>
    <t>Revival (Aug'26)</t>
  </si>
  <si>
    <t>SSIZ_B2B</t>
  </si>
  <si>
    <t>SSIZ INTERNATIONAL PRIVATE LIMITED</t>
  </si>
  <si>
    <t>harisha</t>
  </si>
  <si>
    <t>METRO RETAIL PRIVATE LIMITED</t>
  </si>
  <si>
    <t>FMI LIMITED</t>
  </si>
  <si>
    <t>CARGOSAVVY LOGISTICS PRIVATE LIMITED</t>
  </si>
  <si>
    <t>SAFARI INDUSTRIES INDIA LIMITED</t>
  </si>
  <si>
    <t>REX INDUSTRIES INDIA PRIVATE LIMITED</t>
  </si>
  <si>
    <t>SRI ANJANEYA POLYMERS INDIA PVT LTD</t>
  </si>
  <si>
    <t>HOB STORES INDIA PRIVATE LIMITED</t>
  </si>
  <si>
    <t>JET GLOBAL AIR AND CARGO LOGISTICS</t>
  </si>
  <si>
    <t>TURTLE LIMITED</t>
  </si>
  <si>
    <t>LUXRIO DESIGNS</t>
  </si>
  <si>
    <t>MOTOVOLT MOBILITY PRIVATE LIMITED</t>
  </si>
  <si>
    <t>AIRLINE TURBO LOGISTICS INDIA PRIVATE LIMITED</t>
  </si>
  <si>
    <t>KHADI NATURAL HEALTHCARE</t>
  </si>
  <si>
    <t>Aug Final chargeable weight</t>
  </si>
  <si>
    <t>get the data from the ramya or Shikha</t>
  </si>
  <si>
    <t xml:space="preserve">map all the data </t>
  </si>
  <si>
    <t>Map the latest kam for all the clients</t>
  </si>
  <si>
    <t xml:space="preserve">then u can indentify the Which clients as not given the rev in M2 month for thease type of client mark as Churn clients </t>
  </si>
  <si>
    <t>top 20 higher revenue, compared to last month revenue</t>
  </si>
  <si>
    <t>bottom 20 higher revenue, compared to last month revenue.</t>
  </si>
  <si>
    <t>Make the filter in M-2 Revenue (&gt;0) AND M-1 revenue (&lt;0).</t>
  </si>
  <si>
    <t>remove the current month onboarding client and filter the top 20 clients, and mark that as top 20 in comment column</t>
  </si>
  <si>
    <t>fiter the bottom 20 in the REVENUE DIFF column.and don’t remove the churn client comment in the comment column</t>
  </si>
  <si>
    <t>filter the -70% in Rev% diff , and then and unfilter the comment that we are already written in the comment column</t>
  </si>
  <si>
    <t xml:space="preserve"> make filter on mar rev is &gt;0 and apr rev is &lt;0</t>
  </si>
  <si>
    <t>descp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</si>
</sst>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CEEF"/>
        <bgColor rgb="FFF2CE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AF83E"/>
        <bgColor rgb="FFF2CEE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slantDashDot">
        <color indexed="64"/>
      </left>
      <right style="slantDashDot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slantDashDot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slantDashDot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3" fontId="0" fillId="0" borderId="0" xfId="0" applyNumberFormat="1"/>
    <xf numFmtId="3" fontId="0" fillId="3" borderId="5" xfId="0" applyNumberFormat="1" applyFill="1" applyBorder="1"/>
    <xf numFmtId="0" fontId="2" fillId="0" borderId="0" xfId="0" applyFont="1"/>
    <xf numFmtId="3" fontId="0" fillId="6" borderId="6" xfId="0" applyNumberFormat="1" applyFill="1" applyBorder="1"/>
    <xf numFmtId="0" fontId="0" fillId="0" borderId="1" xfId="0" applyBorder="1"/>
    <xf numFmtId="1" fontId="0" fillId="0" borderId="0" xfId="1" applyNumberFormat="1" applyFont="1" applyBorder="1"/>
    <xf numFmtId="0" fontId="2" fillId="7" borderId="1" xfId="0" applyFont="1" applyFill="1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0" xfId="0" applyAlignment="1">
      <alignment horizontal="left"/>
    </xf>
    <xf numFmtId="9" fontId="0" fillId="0" borderId="1" xfId="1" applyFont="1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0" fillId="9" borderId="1" xfId="0" applyFill="1" applyBorder="1"/>
    <xf numFmtId="0" fontId="0" fillId="11" borderId="12" xfId="0" applyFill="1" applyBorder="1"/>
    <xf numFmtId="0" fontId="0" fillId="11" borderId="0" xfId="0" applyFill="1"/>
    <xf numFmtId="3" fontId="0" fillId="3" borderId="0" xfId="0" applyNumberFormat="1" applyFill="1"/>
    <xf numFmtId="164" fontId="0" fillId="5" borderId="0" xfId="0" applyNumberFormat="1" applyFill="1"/>
    <xf numFmtId="9" fontId="0" fillId="0" borderId="0" xfId="1" applyFont="1" applyBorder="1"/>
    <xf numFmtId="0" fontId="0" fillId="0" borderId="2" xfId="0" applyBorder="1"/>
    <xf numFmtId="3" fontId="0" fillId="8" borderId="0" xfId="0" applyNumberFormat="1" applyFill="1"/>
    <xf numFmtId="0" fontId="0" fillId="11" borderId="13" xfId="0" applyFill="1" applyBorder="1"/>
    <xf numFmtId="0" fontId="0" fillId="11" borderId="14" xfId="0" applyFill="1" applyBorder="1"/>
    <xf numFmtId="3" fontId="0" fillId="3" borderId="15" xfId="0" applyNumberFormat="1" applyFill="1" applyBorder="1"/>
    <xf numFmtId="164" fontId="0" fillId="5" borderId="14" xfId="0" applyNumberFormat="1" applyFill="1" applyBorder="1"/>
    <xf numFmtId="3" fontId="0" fillId="6" borderId="17" xfId="0" applyNumberFormat="1" applyFill="1" applyBorder="1"/>
    <xf numFmtId="0" fontId="0" fillId="0" borderId="14" xfId="0" applyBorder="1"/>
    <xf numFmtId="9" fontId="0" fillId="0" borderId="14" xfId="1" applyFont="1" applyBorder="1"/>
    <xf numFmtId="0" fontId="0" fillId="0" borderId="16" xfId="0" applyBorder="1"/>
    <xf numFmtId="3" fontId="0" fillId="3" borderId="12" xfId="0" applyNumberFormat="1" applyFill="1" applyBorder="1"/>
    <xf numFmtId="3" fontId="0" fillId="8" borderId="12" xfId="0" applyNumberFormat="1" applyFill="1" applyBorder="1"/>
    <xf numFmtId="3" fontId="0" fillId="0" borderId="12" xfId="0" applyNumberFormat="1" applyBorder="1"/>
    <xf numFmtId="3" fontId="0" fillId="3" borderId="14" xfId="0" applyNumberFormat="1" applyFill="1" applyBorder="1"/>
    <xf numFmtId="164" fontId="0" fillId="5" borderId="19" xfId="0" applyNumberFormat="1" applyFill="1" applyBorder="1"/>
    <xf numFmtId="164" fontId="0" fillId="5" borderId="20" xfId="0" applyNumberFormat="1" applyFill="1" applyBorder="1"/>
    <xf numFmtId="0" fontId="0" fillId="0" borderId="0" xfId="0" applyAlignment="1">
      <alignment horizontal="right"/>
    </xf>
    <xf numFmtId="0" fontId="0" fillId="6" borderId="6" xfId="0" applyFill="1" applyBorder="1" applyAlignment="1">
      <alignment horizontal="right"/>
    </xf>
    <xf numFmtId="0" fontId="0" fillId="6" borderId="17" xfId="0" applyFill="1" applyBorder="1" applyAlignment="1">
      <alignment horizontal="right"/>
    </xf>
    <xf numFmtId="0" fontId="3" fillId="10" borderId="8" xfId="0" applyFont="1" applyFill="1" applyBorder="1"/>
    <xf numFmtId="0" fontId="4" fillId="10" borderId="9" xfId="0" applyFont="1" applyFill="1" applyBorder="1"/>
    <xf numFmtId="0" fontId="4" fillId="2" borderId="3" xfId="0" applyFont="1" applyFill="1" applyBorder="1"/>
    <xf numFmtId="0" fontId="4" fillId="2" borderId="7" xfId="0" applyFont="1" applyFill="1" applyBorder="1"/>
    <xf numFmtId="0" fontId="5" fillId="0" borderId="18" xfId="0" applyFont="1" applyBorder="1" applyAlignment="1">
      <alignment horizontal="center"/>
    </xf>
    <xf numFmtId="0" fontId="4" fillId="2" borderId="10" xfId="0" applyFont="1" applyFill="1" applyBorder="1"/>
    <xf numFmtId="0" fontId="5" fillId="0" borderId="1" xfId="0" applyFont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4" borderId="9" xfId="0" applyFont="1" applyFill="1" applyBorder="1"/>
    <xf numFmtId="0" fontId="6" fillId="4" borderId="11" xfId="0" applyFont="1" applyFill="1" applyBorder="1"/>
    <xf numFmtId="3" fontId="0" fillId="3" borderId="13" xfId="0" applyNumberFormat="1" applyFill="1" applyBorder="1"/>
    <xf numFmtId="0" fontId="2" fillId="9" borderId="1" xfId="0" applyFont="1" applyFill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8" borderId="0" xfId="0" applyFill="1"/>
    <xf numFmtId="0" fontId="0" fillId="0" borderId="6" xfId="0" applyBorder="1" applyAlignment="1">
      <alignment horizontal="right"/>
    </xf>
    <xf numFmtId="164" fontId="0" fillId="5" borderId="21" xfId="0" applyNumberFormat="1" applyFill="1" applyBorder="1"/>
    <xf numFmtId="0" fontId="0" fillId="13" borderId="0" xfId="0" applyFill="1"/>
    <xf numFmtId="0" fontId="0" fillId="13" borderId="0" xfId="0" applyFill="1" applyAlignment="1">
      <alignment wrapText="1"/>
    </xf>
    <xf numFmtId="0" fontId="0" fillId="14" borderId="0" xfId="0" applyFill="1"/>
    <xf numFmtId="3" fontId="0" fillId="14" borderId="0" xfId="0" applyNumberFormat="1" applyFill="1"/>
    <xf numFmtId="0" fontId="0" fillId="0" borderId="6" xfId="0" applyBorder="1"/>
    <xf numFmtId="3" fontId="0" fillId="6" borderId="0" xfId="0" applyNumberFormat="1" applyFill="1"/>
    <xf numFmtId="0" fontId="0" fillId="6" borderId="0" xfId="0" applyFill="1" applyAlignment="1">
      <alignment horizontal="right"/>
    </xf>
    <xf numFmtId="164" fontId="0" fillId="5" borderId="12" xfId="0" applyNumberFormat="1" applyFill="1" applyBorder="1"/>
    <xf numFmtId="164" fontId="0" fillId="5" borderId="13" xfId="0" applyNumberFormat="1" applyFill="1" applyBorder="1"/>
    <xf numFmtId="0" fontId="0" fillId="16" borderId="12" xfId="0" applyFill="1" applyBorder="1"/>
    <xf numFmtId="0" fontId="0" fillId="15" borderId="22" xfId="0" applyFill="1" applyBorder="1"/>
    <xf numFmtId="0" fontId="0" fillId="15" borderId="23" xfId="0" applyFill="1" applyBorder="1"/>
    <xf numFmtId="0" fontId="0" fillId="15" borderId="23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7" borderId="1" xfId="0" applyFont="1" applyFill="1" applyBorder="1" applyAlignment="1">
      <alignment horizontal="center"/>
    </xf>
    <xf numFmtId="0" fontId="3" fillId="10" borderId="24" xfId="0" applyFont="1" applyFill="1" applyBorder="1"/>
    <xf numFmtId="0" fontId="4" fillId="10" borderId="25" xfId="0" applyFont="1" applyFill="1" applyBorder="1"/>
    <xf numFmtId="0" fontId="4" fillId="10" borderId="26" xfId="0" applyFont="1" applyFill="1" applyBorder="1"/>
    <xf numFmtId="0" fontId="4" fillId="2" borderId="27" xfId="0" applyFont="1" applyFill="1" applyBorder="1"/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6" fillId="12" borderId="27" xfId="0" applyFont="1" applyFill="1" applyBorder="1" applyAlignment="1">
      <alignment horizontal="center"/>
    </xf>
    <xf numFmtId="0" fontId="6" fillId="4" borderId="27" xfId="0" applyFont="1" applyFill="1" applyBorder="1"/>
    <xf numFmtId="0" fontId="6" fillId="4" borderId="30" xfId="0" applyFont="1" applyFill="1" applyBorder="1"/>
    <xf numFmtId="0" fontId="0" fillId="16" borderId="0" xfId="0" applyFill="1" applyBorder="1"/>
    <xf numFmtId="0" fontId="0" fillId="0" borderId="12" xfId="0" applyBorder="1"/>
    <xf numFmtId="0" fontId="0" fillId="15" borderId="0" xfId="0" applyFill="1" applyBorder="1"/>
    <xf numFmtId="0" fontId="0" fillId="0" borderId="0" xfId="0" applyBorder="1"/>
    <xf numFmtId="0" fontId="0" fillId="0" borderId="0" xfId="0" applyFill="1"/>
    <xf numFmtId="0" fontId="6" fillId="0" borderId="27" xfId="0" applyFont="1" applyFill="1" applyBorder="1" applyAlignment="1">
      <alignment horizontal="center"/>
    </xf>
    <xf numFmtId="3" fontId="0" fillId="0" borderId="6" xfId="0" applyNumberFormat="1" applyFill="1" applyBorder="1"/>
    <xf numFmtId="0" fontId="0" fillId="15" borderId="0" xfId="0" applyFill="1"/>
    <xf numFmtId="0" fontId="0" fillId="15" borderId="0" xfId="0" applyFill="1" applyAlignment="1">
      <alignment wrapTex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6926A"/>
        </patternFill>
      </fill>
    </dxf>
  </dxfs>
  <tableStyles count="0" defaultTableStyle="TableStyleMedium2" defaultPivotStyle="PivotStyleLight16"/>
  <colors>
    <mruColors>
      <color rgb="FF6AF8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aw_data_All/B2B/Raw%20data/1.Sep/Raw%20data/10Sep/(RPK_Aug)otr_report_10092026090201.xlsx" TargetMode="External"/><Relationship Id="rId2" Type="http://schemas.openxmlformats.org/officeDocument/2006/relationships/externalLinkPath" Target="file:///C:\Users\pillasaiganesh.vc\Desktop\Raw_data_All\B2B\Raw%20data\1.Sep\Raw%20data\10Sep\(RPK_Aug)otr_report_10092026090201.xlsx" TargetMode="External"/><Relationship Id="rId1" Type="http://schemas.openxmlformats.org/officeDocument/2006/relationships/externalLinkPath" Target="/Users/pillasaiganesh.vc/Desktop/Raw_data_All/B2B/Raw%20data/1.Sep/Raw%20data/10Sep/(RPK_Aug)otr_report_10092026090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rpk"/>
      <sheetName val="Sheet4"/>
      <sheetName val="otr_report_10092026090201"/>
      <sheetName val="Sheet1"/>
    </sheetNames>
    <sheetDataSet>
      <sheetData sheetId="0"/>
      <sheetData sheetId="1">
        <row r="1">
          <cell r="A1" t="str">
            <v>Bill to Business</v>
          </cell>
          <cell r="B1" t="str">
            <v>Legal Name</v>
          </cell>
        </row>
        <row r="2">
          <cell r="A2" t="str">
            <v>Raymond_Ltd_B2B</v>
          </cell>
          <cell r="B2" t="str">
            <v>RAYMOND LIFESTYLE LIMITED</v>
          </cell>
        </row>
        <row r="3">
          <cell r="A3" t="str">
            <v>HYUNDAI_GLOVIS_B2B</v>
          </cell>
          <cell r="B3" t="str">
            <v>GLOVIS INDIA PRIVATE LIMITED</v>
          </cell>
        </row>
        <row r="4">
          <cell r="A4" t="str">
            <v>PUMA_SPORT_B2B</v>
          </cell>
          <cell r="B4" t="str">
            <v>PUMA SPORTS INDIA PRIVATE LIMITED</v>
          </cell>
        </row>
        <row r="5">
          <cell r="A5" t="str">
            <v>Campus_B2B</v>
          </cell>
          <cell r="B5" t="str">
            <v>CAMPUS ACTIVEWEAR LIMITED</v>
          </cell>
        </row>
        <row r="6">
          <cell r="A6" t="str">
            <v>MANASH_B2B</v>
          </cell>
          <cell r="B6" t="str">
            <v>MANASH LIFESTYLE PRIVATE LIMITED</v>
          </cell>
        </row>
        <row r="7">
          <cell r="A7" t="str">
            <v>OLA_B2B</v>
          </cell>
          <cell r="B7" t="str">
            <v>Ola Electric Technologies Private Limited</v>
          </cell>
        </row>
        <row r="8">
          <cell r="A8" t="str">
            <v>PICKRR_B2B</v>
          </cell>
          <cell r="B8" t="str">
            <v>PICKRR TECHNOLOGIES PRIVATE LIMITED</v>
          </cell>
        </row>
        <row r="9">
          <cell r="A9" t="str">
            <v>AbrosSports_B2B</v>
          </cell>
          <cell r="B9" t="str">
            <v>ABROS SPORTS INTERNATIONAL PRIVATE LIMITED</v>
          </cell>
        </row>
        <row r="10">
          <cell r="A10" t="str">
            <v>Signify_Innovations_B2B</v>
          </cell>
          <cell r="B10" t="str">
            <v>SIGNIFY INNOVATIONS INDIA LIMITED</v>
          </cell>
        </row>
        <row r="11">
          <cell r="A11" t="str">
            <v>CULTSPORT_Haryana_B2B</v>
          </cell>
          <cell r="B11" t="str">
            <v>CULTSPORT PRIVATE LIMITED</v>
          </cell>
        </row>
        <row r="12">
          <cell r="A12" t="str">
            <v>Adidas_B2B</v>
          </cell>
          <cell r="B12" t="str">
            <v>ADIDAS INDIA MARKETING PRIVATE LIMITED</v>
          </cell>
        </row>
        <row r="13">
          <cell r="A13" t="str">
            <v>EurekaForbes_B2B</v>
          </cell>
          <cell r="B13" t="str">
            <v>EUREKA FORBES LIMITED</v>
          </cell>
        </row>
        <row r="14">
          <cell r="A14" t="str">
            <v>ATMOS_CARE_B2B</v>
          </cell>
          <cell r="B14" t="str">
            <v>ATMOS CARE PRIVATE LIMITED</v>
          </cell>
        </row>
        <row r="15">
          <cell r="A15" t="str">
            <v>Apollosupplychain_B2B</v>
          </cell>
          <cell r="B15" t="str">
            <v>Apollo Supply Chain Private Limited</v>
          </cell>
        </row>
        <row r="16">
          <cell r="A16" t="str">
            <v>GlobalBees_B2B</v>
          </cell>
          <cell r="B16" t="str">
            <v>MERHAKI FOODS AND NUTRITION PRIVATE LIMITED</v>
          </cell>
        </row>
        <row r="17">
          <cell r="A17" t="str">
            <v>VIP_B2B</v>
          </cell>
          <cell r="B17" t="str">
            <v>VIP INDUSTRIES LIMITED</v>
          </cell>
        </row>
        <row r="18">
          <cell r="A18" t="str">
            <v>BENETTON_B2B</v>
          </cell>
          <cell r="B18" t="str">
            <v>BENETTON INDIA PRIVATE LIMITED</v>
          </cell>
        </row>
        <row r="19">
          <cell r="B19" t="str">
            <v>HIMALAYA WELLNESS COMPANY</v>
          </cell>
        </row>
        <row r="20">
          <cell r="A20" t="str">
            <v>JAMBULOGIX_B2B</v>
          </cell>
          <cell r="B20" t="str">
            <v>JAMBULOGIX PRIVATE LIMITED</v>
          </cell>
        </row>
        <row r="21">
          <cell r="A21" t="str">
            <v>JQR_B2B</v>
          </cell>
          <cell r="B21" t="str">
            <v>JQR SPORTS (INDIA) PRIVATE LIMITED</v>
          </cell>
        </row>
        <row r="22">
          <cell r="A22" t="str">
            <v>SHREE_KARNI_B2B</v>
          </cell>
          <cell r="B22" t="str">
            <v>SHREE KARNI KRIPAA ENTERPRISES</v>
          </cell>
        </row>
        <row r="23">
          <cell r="A23" t="str">
            <v>GALA_B2B</v>
          </cell>
          <cell r="B23" t="str">
            <v>FREUDENBERG GALA HOUSEHOLD PRODUCT PRIVATE LIMITED</v>
          </cell>
        </row>
        <row r="24">
          <cell r="A24" t="str">
            <v>METRO_B2B</v>
          </cell>
          <cell r="B24" t="str">
            <v>Metro Brands Limited</v>
          </cell>
        </row>
        <row r="25">
          <cell r="A25" t="str">
            <v>Modenik_YES_B2B</v>
          </cell>
          <cell r="B25" t="str">
            <v>MODENIK LIFESTYLE PRIVATE LIMITED</v>
          </cell>
        </row>
        <row r="26">
          <cell r="A26" t="str">
            <v>Pageindustries_Narasapura_B2B</v>
          </cell>
          <cell r="B26" t="str">
            <v>Page Industries Limited</v>
          </cell>
        </row>
        <row r="27">
          <cell r="A27" t="str">
            <v>Dollar_B2B</v>
          </cell>
          <cell r="B27" t="str">
            <v>Dollar Industries Limited</v>
          </cell>
        </row>
        <row r="28">
          <cell r="A28" t="str">
            <v>TECHNO_SPORTSWEAR_B2B</v>
          </cell>
          <cell r="B28" t="str">
            <v>TECHNO SPORTSWEAR PRIVATE LIMITED</v>
          </cell>
        </row>
        <row r="29">
          <cell r="A29" t="str">
            <v>DSR_FREIGHT_B2B</v>
          </cell>
          <cell r="B29" t="str">
            <v>DSR FREIGHT CARRIER PRIVATE LIMITED</v>
          </cell>
        </row>
        <row r="30">
          <cell r="A30" t="str">
            <v>REDTAPE_B2B</v>
          </cell>
          <cell r="B30" t="str">
            <v>REDTAPE LIMITED</v>
          </cell>
        </row>
        <row r="31">
          <cell r="A31" t="str">
            <v>GRACIOUS_LOGISTICS_B2B</v>
          </cell>
          <cell r="B31" t="str">
            <v>GRACIOUS LOGISTICS AND WAREHOUSE PRIVATE LIMITED</v>
          </cell>
        </row>
        <row r="32">
          <cell r="A32" t="str">
            <v>METRO_RETAIL_B2B</v>
          </cell>
          <cell r="B32" t="str">
            <v>METRO RETAIL PRIVATE LIMITED</v>
          </cell>
        </row>
        <row r="33">
          <cell r="A33" t="str">
            <v>LITTLE_B2B</v>
          </cell>
          <cell r="B33" t="str">
            <v>LITTLE RUNWAYS WHOLESALE PRIVATE LIMITED</v>
          </cell>
        </row>
        <row r="34">
          <cell r="A34" t="str">
            <v>TURTLE_B2B</v>
          </cell>
          <cell r="B34" t="str">
            <v>TURTLE LIMITED</v>
          </cell>
        </row>
        <row r="35">
          <cell r="A35" t="str">
            <v>MVIKAS_B2B</v>
          </cell>
          <cell r="B35" t="str">
            <v>MVIKAS SUPER LOGISTICS PRIVATE LIMITED</v>
          </cell>
        </row>
        <row r="36">
          <cell r="A36" t="str">
            <v>Micro_Footwear_B2B</v>
          </cell>
          <cell r="B36" t="str">
            <v>MICRO FOOTWEARS PVT. LTD</v>
          </cell>
        </row>
        <row r="37">
          <cell r="A37" t="str">
            <v>PUREPLAY_B2B</v>
          </cell>
          <cell r="B37" t="str">
            <v>PUREPLAY SKIN SCIENCES (INDIA) PRIVATE LIMITED</v>
          </cell>
        </row>
        <row r="38">
          <cell r="A38" t="str">
            <v>TITAN_WAT_BNG_B2B</v>
          </cell>
          <cell r="B38" t="str">
            <v>TITAN COMPANY LIMITED</v>
          </cell>
        </row>
        <row r="39">
          <cell r="A39" t="str">
            <v>KORES_OUTBOUND_B2B</v>
          </cell>
          <cell r="B39" t="str">
            <v>KORES INDIA LIMITED</v>
          </cell>
        </row>
        <row r="40">
          <cell r="A40" t="str">
            <v>Southern_Health_B2B</v>
          </cell>
          <cell r="B40" t="str">
            <v>SOUTHERN HEALTH FOODS PRIVATE LIMITED</v>
          </cell>
        </row>
        <row r="41">
          <cell r="A41" t="str">
            <v>RUPA_COMPANY_B2B</v>
          </cell>
          <cell r="B41" t="str">
            <v>RUPA &amp; COMPANY LIMITED</v>
          </cell>
        </row>
        <row r="42">
          <cell r="A42" t="str">
            <v>AFFINITY_B2B</v>
          </cell>
          <cell r="B42" t="str">
            <v>Affinity Global Services</v>
          </cell>
        </row>
        <row r="43">
          <cell r="A43" t="str">
            <v>Arvind_B2B</v>
          </cell>
          <cell r="B43" t="str">
            <v>ARVIND LIFESTYLE BRANDS LIMITED</v>
          </cell>
        </row>
        <row r="44">
          <cell r="A44" t="str">
            <v>FMI_LTD_B2B</v>
          </cell>
          <cell r="B44" t="str">
            <v>FMI LIMITED</v>
          </cell>
        </row>
        <row r="45">
          <cell r="A45" t="str">
            <v>Indian_Terrain_B2B</v>
          </cell>
          <cell r="B45" t="str">
            <v>INDIAN TERRAIN FASHIONS LIMITED</v>
          </cell>
        </row>
        <row r="46">
          <cell r="A46" t="str">
            <v>MIDLINKERZ_B2B</v>
          </cell>
          <cell r="B46" t="str">
            <v>MIDLINKERZ PRIVATE LIMITED</v>
          </cell>
        </row>
        <row r="47">
          <cell r="A47" t="str">
            <v>PIKALL_B2B</v>
          </cell>
          <cell r="B47" t="str">
            <v>PIKALL LOGISTICS MANAGEMENT LLP</v>
          </cell>
        </row>
        <row r="48">
          <cell r="A48" t="str">
            <v>ZIVORE_B2B</v>
          </cell>
          <cell r="B48" t="str">
            <v>ZIVORE APPAREL PRIVATE LIMITED</v>
          </cell>
        </row>
        <row r="49">
          <cell r="A49" t="str">
            <v>Bolasagro_B2B</v>
          </cell>
          <cell r="B49" t="str">
            <v>BOLAS AGRO PRIVATE LIMITED</v>
          </cell>
        </row>
        <row r="50">
          <cell r="A50" t="str">
            <v>KARCHER_B2B</v>
          </cell>
          <cell r="B50" t="str">
            <v>KARCHER CLEANING SYSTEMS PRIVATE LIMITED</v>
          </cell>
        </row>
        <row r="51">
          <cell r="A51" t="str">
            <v>JINDAL_B2B</v>
          </cell>
          <cell r="B51" t="str">
            <v>JINDAL FINE INDUSTRIES</v>
          </cell>
        </row>
        <row r="52">
          <cell r="A52" t="str">
            <v>ASIAN_RETAIL_B2B</v>
          </cell>
          <cell r="B52" t="str">
            <v>ASIAN RETAIL VENTURES</v>
          </cell>
        </row>
        <row r="53">
          <cell r="A53" t="str">
            <v>Zebronics_Ecom_B2B</v>
          </cell>
          <cell r="B53" t="str">
            <v>ZEBRONICS INDIA PRIVATE LIMITED</v>
          </cell>
        </row>
        <row r="54">
          <cell r="A54" t="str">
            <v>SME_EXPRESS_B2B</v>
          </cell>
          <cell r="B54" t="str">
            <v>SME EXPRESS</v>
          </cell>
        </row>
        <row r="55">
          <cell r="A55" t="str">
            <v>Bombay_Wheels_B2B</v>
          </cell>
          <cell r="B55" t="str">
            <v>BOMBAY WHEELS</v>
          </cell>
        </row>
        <row r="56">
          <cell r="A56" t="str">
            <v>BERSACHE_B2B</v>
          </cell>
          <cell r="B56" t="str">
            <v>BERSACHE SPORTS INTERNATIONAL PRIVATE LIMITED</v>
          </cell>
        </row>
        <row r="57">
          <cell r="A57" t="str">
            <v>JUPITER_LAMINATORS_B2B</v>
          </cell>
          <cell r="B57" t="str">
            <v>JUPITER LAMINATORS PRIVATE LIMITED</v>
          </cell>
        </row>
        <row r="58">
          <cell r="A58" t="str">
            <v>DUKE_FASHIONS_B2B</v>
          </cell>
          <cell r="B58" t="str">
            <v>DUKE FASHION INDIA LTD</v>
          </cell>
        </row>
        <row r="59">
          <cell r="A59" t="str">
            <v>AdityaBirlaFashion_b2b</v>
          </cell>
          <cell r="B59" t="str">
            <v>ADITYA BIRLA FASHION AND RETAIL LIMITED</v>
          </cell>
        </row>
        <row r="60">
          <cell r="A60" t="str">
            <v>DOT_KEY_B2B</v>
          </cell>
          <cell r="B60" t="str">
            <v>DOT &amp; KEY WELLNESS LIMITED</v>
          </cell>
        </row>
        <row r="61">
          <cell r="A61" t="str">
            <v>Arvind_B2B</v>
          </cell>
          <cell r="B61" t="str">
            <v>ARVIND FASHIONS LIMITED</v>
          </cell>
        </row>
        <row r="62">
          <cell r="A62" t="str">
            <v>Bigship_B2B</v>
          </cell>
          <cell r="B62" t="str">
            <v>BIGSHIP TECHNOLOGIES PRIVATE LIMITED</v>
          </cell>
        </row>
        <row r="63">
          <cell r="A63" t="str">
            <v>HONASA_B2B</v>
          </cell>
          <cell r="B63" t="str">
            <v>HONASA CONSUMER LIMITED</v>
          </cell>
        </row>
        <row r="64">
          <cell r="A64" t="str">
            <v>BATA_B2B</v>
          </cell>
          <cell r="B64" t="str">
            <v>BATA INDIA LIMITED</v>
          </cell>
        </row>
        <row r="65">
          <cell r="A65" t="str">
            <v>Bharatpe_B2B</v>
          </cell>
          <cell r="B65" t="str">
            <v>RESILIENT INNOVATIONS PRIVATE LIMITED</v>
          </cell>
        </row>
        <row r="66">
          <cell r="A66" t="str">
            <v>AJANTA_SHOES_B2B</v>
          </cell>
          <cell r="B66" t="str">
            <v>AJANTA SHOES (INDIA) PRIVATE LIMITED</v>
          </cell>
        </row>
        <row r="67">
          <cell r="A67" t="str">
            <v>Schneider_B2B</v>
          </cell>
          <cell r="B67" t="str">
            <v>Schneider Electric Private Limited</v>
          </cell>
        </row>
        <row r="68">
          <cell r="A68" t="str">
            <v>CDS_LOGISTICS_B2B</v>
          </cell>
          <cell r="B68" t="str">
            <v>CDS LOGISTICS</v>
          </cell>
        </row>
        <row r="69">
          <cell r="A69" t="str">
            <v>YASH_SEALS_B2B</v>
          </cell>
          <cell r="B69" t="str">
            <v>YASH SEALS PRIVATE LIMITED</v>
          </cell>
        </row>
        <row r="70">
          <cell r="A70" t="str">
            <v>KONICA_CHN_PRN_B2B</v>
          </cell>
          <cell r="B70" t="str">
            <v>KONICA MINOLTA BUSINESS SOLUTIONS INDIA PRIVATE LIMITED</v>
          </cell>
        </row>
        <row r="71">
          <cell r="A71" t="str">
            <v>HACHI_B2B</v>
          </cell>
          <cell r="B71" t="str">
            <v>HACHI WILSON INDIA</v>
          </cell>
        </row>
        <row r="72">
          <cell r="A72" t="str">
            <v>LAZER_B2B</v>
          </cell>
          <cell r="B72" t="str">
            <v>LAZER INDIA PRIVATE LIMITED</v>
          </cell>
        </row>
        <row r="73">
          <cell r="A73" t="str">
            <v>BOLDFIT_B2B</v>
          </cell>
          <cell r="B73" t="str">
            <v>BLING BRANDS PRIVATE LIMITED</v>
          </cell>
        </row>
        <row r="74">
          <cell r="A74" t="str">
            <v>CARGOSAVVY_B2B</v>
          </cell>
          <cell r="B74" t="str">
            <v>CARGOSAVVY LOGISTICS PRIVATE LIMITED</v>
          </cell>
        </row>
        <row r="75">
          <cell r="A75" t="str">
            <v>KARMA_SILVERLIFE_B2B</v>
          </cell>
          <cell r="B75" t="str">
            <v>KARMA SILVERLIFE PRIVATE LIMITED</v>
          </cell>
        </row>
        <row r="76">
          <cell r="A76" t="str">
            <v>RASHI_PERIPHERALS_B2B</v>
          </cell>
          <cell r="B76" t="str">
            <v>RASHI PERIPHERALS LIMITED</v>
          </cell>
        </row>
        <row r="77">
          <cell r="A77" t="str">
            <v>VS_MANI_B2B</v>
          </cell>
          <cell r="B77" t="str">
            <v>VS MANI PRIVATE LIMITED</v>
          </cell>
        </row>
        <row r="78">
          <cell r="A78" t="str">
            <v>Campussutra_B2B</v>
          </cell>
          <cell r="B78" t="str">
            <v>CAMPUSSUTRA RETAIL PRIVATE LIMITED</v>
          </cell>
        </row>
        <row r="79">
          <cell r="A79" t="str">
            <v>GLEN_APPLIANCES_B2B</v>
          </cell>
          <cell r="B79" t="str">
            <v>GLEN APPLIANCES PRIVATE LIMITED</v>
          </cell>
        </row>
        <row r="80">
          <cell r="A80" t="str">
            <v>THE_WOOD_WHITE_B2B</v>
          </cell>
          <cell r="B80" t="str">
            <v>THE WOOD WHITE INDIA</v>
          </cell>
        </row>
        <row r="81">
          <cell r="A81" t="str">
            <v>Rare_Rabbit_B2B</v>
          </cell>
          <cell r="B81" t="str">
            <v>RADHAMANI TEXTILES PRIVATE LIMITED</v>
          </cell>
        </row>
        <row r="82">
          <cell r="A82" t="str">
            <v>HOLAPORT_Xhipment_B2B</v>
          </cell>
          <cell r="B82" t="str">
            <v>HOLAPORT LOGISTICS PRIVATE LIMITED</v>
          </cell>
        </row>
        <row r="83">
          <cell r="A83" t="str">
            <v>RELIABLE_B2B</v>
          </cell>
          <cell r="B83" t="str">
            <v>RELIABLE INTERNATIONAL</v>
          </cell>
        </row>
        <row r="84">
          <cell r="A84" t="str">
            <v>MOSAIC_B2B</v>
          </cell>
          <cell r="B84" t="str">
            <v>MOSAIC WELLNESS PRIVATE LIMITED</v>
          </cell>
        </row>
        <row r="85">
          <cell r="A85" t="str">
            <v>JRN_EXPRESS_B2B</v>
          </cell>
          <cell r="B85" t="str">
            <v>JRN EXPRESS</v>
          </cell>
        </row>
        <row r="86">
          <cell r="A86" t="str">
            <v>MOUNTHILLS_B2B</v>
          </cell>
          <cell r="B86" t="str">
            <v>Mounthills Incorporation</v>
          </cell>
        </row>
        <row r="87">
          <cell r="A87" t="str">
            <v>XEOM_B2B</v>
          </cell>
          <cell r="B87" t="str">
            <v>XEOM CONSUMER PRIVATE LIMITED</v>
          </cell>
        </row>
        <row r="88">
          <cell r="A88" t="str">
            <v>School_shop_B2B</v>
          </cell>
          <cell r="B88" t="str">
            <v>SCHOOL SHOP PRIVATE LIMITED</v>
          </cell>
        </row>
        <row r="89">
          <cell r="A89" t="str">
            <v>LUX_LYRA_B2B</v>
          </cell>
          <cell r="B89" t="str">
            <v>LUX INDUSTRIES LIMITED</v>
          </cell>
        </row>
        <row r="90">
          <cell r="A90" t="str">
            <v>XYXX_APPARELS_B2B</v>
          </cell>
          <cell r="B90" t="str">
            <v>XYXX APPARELS PRIVATE LIMITED</v>
          </cell>
        </row>
        <row r="91">
          <cell r="A91" t="str">
            <v>Argo_Retail_B2B</v>
          </cell>
          <cell r="B91" t="str">
            <v>ARGO TRADING INDIA PRIVATE LIMITED</v>
          </cell>
        </row>
        <row r="92">
          <cell r="A92" t="str">
            <v>Snapin_B2B</v>
          </cell>
          <cell r="B92" t="str">
            <v>DUVAL ENTERPRISES PRIVATE LIMITED</v>
          </cell>
        </row>
        <row r="93">
          <cell r="A93" t="str">
            <v>SIMK_LABELS_B2B</v>
          </cell>
          <cell r="B93" t="str">
            <v>SIMK LABELS PRIVATE LIMITED</v>
          </cell>
        </row>
        <row r="94">
          <cell r="A94" t="str">
            <v>KIYAN_ENTERPRISES_B2B</v>
          </cell>
          <cell r="B94" t="str">
            <v>KIYAN ENTERPRISES</v>
          </cell>
        </row>
        <row r="95">
          <cell r="A95" t="str">
            <v>AANSWR_FASHION_B2B</v>
          </cell>
          <cell r="B95" t="str">
            <v>AANSWR FASHION PRIVATE LIMITED</v>
          </cell>
        </row>
        <row r="96">
          <cell r="A96" t="str">
            <v>VKC_B2B</v>
          </cell>
          <cell r="B96" t="str">
            <v>VKC NUTS PRIVATE LIMITED</v>
          </cell>
        </row>
        <row r="97">
          <cell r="A97" t="str">
            <v>STUFA_B2B</v>
          </cell>
          <cell r="B97" t="str">
            <v>STUFA MANUFACTURING ENTERPRISE</v>
          </cell>
        </row>
        <row r="98">
          <cell r="A98" t="str">
            <v>HD_Enterprise_B2B</v>
          </cell>
          <cell r="B98" t="str">
            <v>HD ENTERPRISE</v>
          </cell>
        </row>
        <row r="99">
          <cell r="A99" t="str">
            <v>SUDHIR_AUTOMOTIVE_B2B</v>
          </cell>
          <cell r="B99" t="str">
            <v>SUDHIR AUTOMOTIVE INDUSTRIES PRIVATE LIMITED</v>
          </cell>
        </row>
        <row r="100">
          <cell r="A100" t="str">
            <v>SHIPIT_EXPRESS_B2B</v>
          </cell>
          <cell r="B100" t="str">
            <v>SHIPIT EXPRESS LOGISTICS PRIVATE LIMITED</v>
          </cell>
        </row>
        <row r="101">
          <cell r="A101" t="str">
            <v>SANKETHI_B2B</v>
          </cell>
          <cell r="B101" t="str">
            <v>SANKETHI NUTRIMENTS PRIVATE LIMITED</v>
          </cell>
        </row>
        <row r="102">
          <cell r="A102" t="str">
            <v>OVERHAUL_B2B</v>
          </cell>
          <cell r="B102" t="str">
            <v>OVERHAUL SOLUTIONS PRIVATE LIMITED</v>
          </cell>
        </row>
        <row r="103">
          <cell r="A103" t="str">
            <v>DHANASHREE_B2B</v>
          </cell>
          <cell r="B103" t="str">
            <v>DHANASHREE ELECTRONICS LTD.</v>
          </cell>
        </row>
        <row r="104">
          <cell r="A104" t="str">
            <v>STUDDS_B2B</v>
          </cell>
          <cell r="B104" t="str">
            <v>STUDDS ACCESSORIES LIMITED</v>
          </cell>
        </row>
        <row r="105">
          <cell r="A105" t="str">
            <v>FAMOUS_ROADLINES_B2B</v>
          </cell>
          <cell r="B105" t="str">
            <v>FAMOUS ROADLINES</v>
          </cell>
        </row>
        <row r="106">
          <cell r="A106" t="str">
            <v>EKVIRA_LUD_B2B</v>
          </cell>
          <cell r="B106" t="str">
            <v>EKVIRA COURIER &amp; CARGO SERVICE</v>
          </cell>
        </row>
        <row r="107">
          <cell r="A107" t="str">
            <v>B_VISHAL_CORP_B2B</v>
          </cell>
          <cell r="B107" t="str">
            <v>B. VISHAL CORPORATION</v>
          </cell>
        </row>
        <row r="108">
          <cell r="A108" t="str">
            <v>Imagine_Marketing_B2B</v>
          </cell>
          <cell r="B108" t="str">
            <v>IMAGINE MARKETING LIMITED</v>
          </cell>
        </row>
        <row r="109">
          <cell r="A109" t="str">
            <v>Icarry_B2B</v>
          </cell>
          <cell r="B109" t="str">
            <v>ICARRY TECHNOLOGIES PRIVATE LIMITED</v>
          </cell>
        </row>
        <row r="110">
          <cell r="A110" t="str">
            <v>Sassafras_B2B</v>
          </cell>
          <cell r="B110" t="str">
            <v>Kalyr Retail Private Limited</v>
          </cell>
        </row>
        <row r="111">
          <cell r="A111" t="str">
            <v>ADL_International_B2B</v>
          </cell>
          <cell r="B111" t="str">
            <v>ADL INTERNATIONAL</v>
          </cell>
        </row>
        <row r="112">
          <cell r="A112" t="str">
            <v>SUN_ORGANIC_B2B</v>
          </cell>
          <cell r="B112" t="str">
            <v>SUN ORGANIC INDUSTRIES PRIVATE LIMITED</v>
          </cell>
        </row>
        <row r="113">
          <cell r="A113" t="str">
            <v>LIVPURE_B2B</v>
          </cell>
          <cell r="B113" t="str">
            <v>LIVPURE SMART HOMES PRIVATE LIMITED</v>
          </cell>
        </row>
        <row r="114">
          <cell r="A114" t="str">
            <v>EASTERN_COTTAGE_B2B</v>
          </cell>
          <cell r="B114" t="str">
            <v>EASTERN COTTAGE SNACKS PRIVATE LIMITED</v>
          </cell>
        </row>
        <row r="115">
          <cell r="A115" t="str">
            <v>TAPI_FRUIT_B2B</v>
          </cell>
          <cell r="B115" t="str">
            <v>TAPI FRUIT PROCESSING LIMITED</v>
          </cell>
        </row>
        <row r="116">
          <cell r="A116" t="str">
            <v>OZONE_B2B</v>
          </cell>
          <cell r="B116" t="str">
            <v>OZONE PHARMACEUTICALS LIMITED</v>
          </cell>
        </row>
        <row r="117">
          <cell r="A117" t="str">
            <v>RAMRAJ_B2B</v>
          </cell>
          <cell r="B117" t="str">
            <v>VENNILA CLOTHING COMPANY</v>
          </cell>
        </row>
        <row r="118">
          <cell r="A118" t="str">
            <v>Griffen_Logistics_B2B</v>
          </cell>
          <cell r="B118" t="str">
            <v>Griffen Logistics</v>
          </cell>
        </row>
        <row r="119">
          <cell r="A119" t="str">
            <v>AASHNA_CLUB_B2B</v>
          </cell>
          <cell r="B119" t="str">
            <v>AASHNA CLUB CONCEPT MANAGEMENT PRIVATE LIMITED</v>
          </cell>
        </row>
        <row r="120">
          <cell r="A120" t="str">
            <v>INNOVENT_B2B</v>
          </cell>
          <cell r="B120" t="str">
            <v>INNOVENT E-COM LLP</v>
          </cell>
        </row>
        <row r="121">
          <cell r="A121" t="str">
            <v>PANCHANAN_B2B</v>
          </cell>
          <cell r="B121" t="str">
            <v>PANCHANAN INTERNATIONAL PRIVATE LIMITED</v>
          </cell>
        </row>
        <row r="122">
          <cell r="A122" t="str">
            <v>TRANSLOGICS_SOLUTIONS_B2B</v>
          </cell>
          <cell r="B122" t="str">
            <v>TRANSLOGICS SOLUTIONS</v>
          </cell>
        </row>
        <row r="123">
          <cell r="A123" t="str">
            <v>NURECA_LIMITED_B2B</v>
          </cell>
          <cell r="B123" t="str">
            <v>NURECA LIMITED</v>
          </cell>
        </row>
        <row r="124">
          <cell r="A124" t="str">
            <v>THE_EARTH_B2B</v>
          </cell>
          <cell r="B124" t="str">
            <v>THE EARTH STORE</v>
          </cell>
        </row>
        <row r="125">
          <cell r="A125" t="str">
            <v>SV_INTERNATIONAL_B2B</v>
          </cell>
          <cell r="B125" t="str">
            <v>SV INTERNATIONAL</v>
          </cell>
        </row>
        <row r="126">
          <cell r="A126" t="str">
            <v>SAFARI_B2B</v>
          </cell>
          <cell r="B126" t="str">
            <v>SAFARI INDUSTRIES INDIA LIMITED</v>
          </cell>
        </row>
        <row r="127">
          <cell r="A127" t="str">
            <v>AGILITAS_B2B</v>
          </cell>
          <cell r="B127" t="str">
            <v>AGILITAS BRANDS PRIVATE LIMITED</v>
          </cell>
        </row>
        <row r="128">
          <cell r="A128" t="str">
            <v>SNITCH_B2B</v>
          </cell>
          <cell r="B128" t="str">
            <v>SNITCH APPARELS PRIVATE LIMITED</v>
          </cell>
        </row>
        <row r="129">
          <cell r="A129" t="str">
            <v>QUANTICO_B2B</v>
          </cell>
          <cell r="B129" t="str">
            <v>Quantico Global India Private Limited</v>
          </cell>
        </row>
        <row r="130">
          <cell r="A130" t="str">
            <v>Arvind_B2B</v>
          </cell>
          <cell r="B130" t="str">
            <v>ARVIND YOUTH BRANDS PRIVATE LIMITED</v>
          </cell>
        </row>
        <row r="131">
          <cell r="A131" t="str">
            <v>GST_B2B</v>
          </cell>
          <cell r="B131" t="str">
            <v>GST LOGISTIC</v>
          </cell>
        </row>
        <row r="132">
          <cell r="A132" t="str">
            <v>ACEFOUR_ACCESSORIES_B2B</v>
          </cell>
          <cell r="B132" t="str">
            <v>ACEFOUR ACCESSORIES PRIVATE LIMITED</v>
          </cell>
        </row>
        <row r="133">
          <cell r="A133" t="str">
            <v>GAINT_LOGISTIC_B2B</v>
          </cell>
          <cell r="B133" t="str">
            <v>GAINT LOGISTIC PRIVATE LIMITED</v>
          </cell>
        </row>
        <row r="134">
          <cell r="A134" t="str">
            <v>GEAR_B2B</v>
          </cell>
          <cell r="B134" t="str">
            <v>GEAR MERCHANDISE PRIVATE LIMITED</v>
          </cell>
        </row>
        <row r="135">
          <cell r="A135" t="str">
            <v>WAREIQ_B2B</v>
          </cell>
          <cell r="B135" t="str">
            <v>WAREIQ LOGISTICS PRIVATE LIMITED</v>
          </cell>
        </row>
        <row r="136">
          <cell r="A136" t="str">
            <v>OLBUIZ_B2B</v>
          </cell>
          <cell r="B136" t="str">
            <v>OLBUIZ LOGISTICS PRIVATE LIMITED</v>
          </cell>
        </row>
        <row r="137">
          <cell r="A137" t="str">
            <v>GLS_FILMS_B2B</v>
          </cell>
          <cell r="B137" t="str">
            <v>GLS FILMS INDUSTRIES PRIVATE LIMITED</v>
          </cell>
        </row>
        <row r="138">
          <cell r="A138" t="str">
            <v>URBAN_STAR_6_B2B</v>
          </cell>
          <cell r="B138" t="str">
            <v>URBAN STAR GLOBAL SERVICES PRIVATE LIMITED</v>
          </cell>
        </row>
        <row r="139">
          <cell r="A139" t="str">
            <v>KANHA_B2B</v>
          </cell>
          <cell r="B139" t="str">
            <v>KANHA HOME DECOR</v>
          </cell>
        </row>
        <row r="140">
          <cell r="A140" t="str">
            <v>EJOT-OCTAQON_B2B</v>
          </cell>
          <cell r="B140" t="str">
            <v>EJOT-OCTAQON FASTENING SYSTEMS PRIVATE LIMITED</v>
          </cell>
        </row>
        <row r="141">
          <cell r="A141" t="str">
            <v>AMLANI_B2B</v>
          </cell>
          <cell r="B141" t="str">
            <v>AMLANI RETAIL PRIVATE LIMITED</v>
          </cell>
        </row>
        <row r="142">
          <cell r="A142" t="str">
            <v>TYNOR_B2B</v>
          </cell>
          <cell r="B142" t="str">
            <v>TYNOR ORTHOTICS PRIVATE LIMITED</v>
          </cell>
        </row>
        <row r="143">
          <cell r="A143" t="str">
            <v>KP_LEATHER_B2B</v>
          </cell>
          <cell r="B143" t="str">
            <v>K.P. LEATHER ASSOCIATES</v>
          </cell>
        </row>
        <row r="144">
          <cell r="A144" t="str">
            <v>PRATYAYA_B2B</v>
          </cell>
          <cell r="B144" t="str">
            <v>PRATYAYA E-COMMERCE PRIVATE LIMITED</v>
          </cell>
        </row>
        <row r="145">
          <cell r="A145" t="str">
            <v>ROMSONS_PRIME_B2B</v>
          </cell>
          <cell r="B145" t="str">
            <v>ROMSONS PRIME PRIVATE LIMITED</v>
          </cell>
        </row>
        <row r="146">
          <cell r="A146" t="str">
            <v>OM_SAI_ENTERPRISES_B2B</v>
          </cell>
          <cell r="B146" t="str">
            <v>OM SAI ENTERPRISES</v>
          </cell>
        </row>
        <row r="147">
          <cell r="A147" t="str">
            <v>KKCL_B2B</v>
          </cell>
          <cell r="B147" t="str">
            <v>KEWAL KIRAN CLOTHING PRIVATE LIMITED</v>
          </cell>
        </row>
        <row r="148">
          <cell r="A148" t="str">
            <v>Romsons_Medsource_B2B</v>
          </cell>
          <cell r="B148" t="str">
            <v>ROMSONS MEDSOURCE</v>
          </cell>
        </row>
        <row r="149">
          <cell r="A149" t="str">
            <v>Street Nine_b2b</v>
          </cell>
          <cell r="B149" t="str">
            <v>STREET NINE FASHIONS PRIVATE LIMITED</v>
          </cell>
        </row>
        <row r="150">
          <cell r="A150" t="str">
            <v>NANDI_LOGISTIC_B2B</v>
          </cell>
          <cell r="B150" t="str">
            <v>NANDI LOGISTIC</v>
          </cell>
        </row>
        <row r="151">
          <cell r="A151" t="str">
            <v>GAARVI_B2B</v>
          </cell>
          <cell r="B151" t="str">
            <v>GAARVI TRADING COMPANY</v>
          </cell>
        </row>
        <row r="152">
          <cell r="A152" t="str">
            <v>ITHINK_LOGISTIC_B2B</v>
          </cell>
          <cell r="B152" t="str">
            <v>ITHINK LOGISTIC QUICK SERVICES PRIVATE LIMITED</v>
          </cell>
        </row>
        <row r="153">
          <cell r="A153" t="str">
            <v>WOCKHARDT_B2B</v>
          </cell>
          <cell r="B153" t="str">
            <v>WOCKHARDT LIMITED</v>
          </cell>
        </row>
        <row r="154">
          <cell r="A154" t="str">
            <v>SUTTON_B2B</v>
          </cell>
          <cell r="B154" t="str">
            <v>SUTTON CORP PRIVATE LIMITED</v>
          </cell>
        </row>
        <row r="155">
          <cell r="A155" t="str">
            <v>SAVEX_B2B</v>
          </cell>
          <cell r="B155" t="str">
            <v>SAVEX TECHNOLOGIES PRIVATE LIMITED</v>
          </cell>
        </row>
        <row r="156">
          <cell r="A156" t="str">
            <v>LITTLE_NAP_B2B</v>
          </cell>
          <cell r="B156" t="str">
            <v>Little Nap Designs Private Limited</v>
          </cell>
        </row>
        <row r="157">
          <cell r="A157" t="str">
            <v>POWERLOOK_APPARELS_B2B</v>
          </cell>
          <cell r="B157" t="str">
            <v>POWERLOOK APPARELS PRIVATE LIMITED</v>
          </cell>
        </row>
        <row r="158">
          <cell r="A158" t="str">
            <v>TEJ_EXPRESS_B2B</v>
          </cell>
          <cell r="B158" t="str">
            <v>TEJ EXPRESS SERVICES</v>
          </cell>
        </row>
        <row r="159">
          <cell r="A159" t="str">
            <v>Wellversed_B2B</v>
          </cell>
          <cell r="B159" t="str">
            <v>Wellversed Health Private Limited</v>
          </cell>
        </row>
        <row r="160">
          <cell r="A160" t="str">
            <v>Damensch_B2B</v>
          </cell>
          <cell r="B160" t="str">
            <v>Damensch Apparel Private Limited</v>
          </cell>
        </row>
        <row r="161">
          <cell r="A161" t="str">
            <v>RASNA_INDIA_B2B</v>
          </cell>
          <cell r="B161" t="str">
            <v>RASNA PRIVATE LIMITED</v>
          </cell>
        </row>
        <row r="162">
          <cell r="A162" t="str">
            <v>LOADNETIC_B2B</v>
          </cell>
          <cell r="B162" t="str">
            <v>LOADNETIC SOLUTIONS PRIVATE LIMITED</v>
          </cell>
        </row>
        <row r="163">
          <cell r="A163" t="str">
            <v>Vstramay_B2B</v>
          </cell>
          <cell r="B163" t="str">
            <v>VASTRAMAY PRIVATE LIMITED</v>
          </cell>
        </row>
        <row r="164">
          <cell r="A164" t="str">
            <v>MARS_COSMETICS_B2B</v>
          </cell>
          <cell r="B164" t="str">
            <v>MARS COSMETICS PRIVATE LIMITED</v>
          </cell>
        </row>
        <row r="165">
          <cell r="A165" t="str">
            <v>Lily_India_B2B</v>
          </cell>
          <cell r="B165" t="str">
            <v>LILY INDIA PRIVATE LIMITED</v>
          </cell>
        </row>
        <row r="166">
          <cell r="A166" t="str">
            <v>Goswift_B2B</v>
          </cell>
          <cell r="B166" t="str">
            <v>GOSPRINT LOGISTlCS PRIVATE LIMITED</v>
          </cell>
        </row>
        <row r="167">
          <cell r="A167" t="str">
            <v>LADHURAM_B2B</v>
          </cell>
          <cell r="B167" t="str">
            <v>LADHURAM TOSHNIWAL AND SONS ELECTRICALS PRIVATE LI</v>
          </cell>
        </row>
        <row r="168">
          <cell r="A168" t="str">
            <v>ODDITY_HEALTHCARE_B2B</v>
          </cell>
          <cell r="B168" t="str">
            <v>ODDITY HEALTHCARE PRIVATE LIMITED</v>
          </cell>
        </row>
        <row r="169">
          <cell r="A169" t="str">
            <v>PARCELIT_B2B</v>
          </cell>
          <cell r="B169" t="str">
            <v>PARCELIT SUPPLY CHAIN SOLUTIONS PRIVATE LIMITED</v>
          </cell>
        </row>
        <row r="170">
          <cell r="A170" t="str">
            <v>LEEMBODI_FASHION_B2B</v>
          </cell>
          <cell r="B170" t="str">
            <v>LEEMBOODI FASHION</v>
          </cell>
        </row>
        <row r="171">
          <cell r="A171" t="str">
            <v>TUAREG_B2B</v>
          </cell>
          <cell r="B171" t="str">
            <v>TUAREG MARKETING PRIVATE LIMITED</v>
          </cell>
        </row>
        <row r="172">
          <cell r="A172" t="str">
            <v>OM_SAI_B2B</v>
          </cell>
          <cell r="B172" t="str">
            <v>OM SAI CARGO CORPORATION</v>
          </cell>
        </row>
        <row r="173">
          <cell r="A173" t="str">
            <v>PALEX_B2B</v>
          </cell>
          <cell r="B173" t="str">
            <v>PALEX EXPRESS SERVICES PRIVATE LIMITED</v>
          </cell>
        </row>
        <row r="174">
          <cell r="A174" t="str">
            <v>HIKE_STORE_B2B</v>
          </cell>
          <cell r="B174" t="str">
            <v>HIKE STORE</v>
          </cell>
        </row>
        <row r="175">
          <cell r="A175" t="str">
            <v>SIXTH_SENSE_B2B</v>
          </cell>
          <cell r="B175" t="str">
            <v>SIXTH SENSE</v>
          </cell>
        </row>
        <row r="176">
          <cell r="A176" t="str">
            <v>WET_AND_DRY_B2B</v>
          </cell>
          <cell r="B176" t="str">
            <v>WET AND DRY PERSONAL CARE PRIVATE LIMITED</v>
          </cell>
        </row>
        <row r="177">
          <cell r="A177" t="str">
            <v>HEALTHIUM_B2B</v>
          </cell>
          <cell r="B177" t="str">
            <v>HEALTHIUM MEDTECH LIMITED</v>
          </cell>
        </row>
        <row r="178">
          <cell r="A178" t="str">
            <v>SAVANI_TEXTILE_B2B</v>
          </cell>
          <cell r="B178" t="str">
            <v>SAVANI TEXTILE INDUSTRIES PRIVATE LIMITED</v>
          </cell>
        </row>
        <row r="179">
          <cell r="A179" t="str">
            <v>MALLCOM_B2B</v>
          </cell>
          <cell r="B179" t="str">
            <v>MALLCOM INDIA LTD</v>
          </cell>
        </row>
        <row r="180">
          <cell r="A180" t="str">
            <v>MARKS&amp;SPENCER_B2B</v>
          </cell>
          <cell r="B180" t="str">
            <v>MARKS AND SPENCER RELIANCE INDIA PRIVATE LIMITED</v>
          </cell>
        </row>
        <row r="181">
          <cell r="A181" t="str">
            <v>NANDINI_KNITWEARS_B2B</v>
          </cell>
          <cell r="B181" t="str">
            <v>NANDINI KNITWEARS</v>
          </cell>
        </row>
        <row r="182">
          <cell r="A182" t="str">
            <v>KWW_ELECTRICALS_B2B</v>
          </cell>
          <cell r="B182" t="str">
            <v>KWW ELECTRICALS &amp; ELECTRONICS PRIVATE LIMITED</v>
          </cell>
        </row>
        <row r="183">
          <cell r="A183" t="str">
            <v>DELNET_CONNECT_B2B</v>
          </cell>
          <cell r="B183" t="str">
            <v>DELNET CONNECT LLP</v>
          </cell>
        </row>
        <row r="184">
          <cell r="A184" t="str">
            <v>BANDHAN_BANK_B2B</v>
          </cell>
          <cell r="B184" t="str">
            <v>BANDHAN BANK LIMITED</v>
          </cell>
        </row>
        <row r="185">
          <cell r="A185" t="str">
            <v>LINC_ON_B2B</v>
          </cell>
          <cell r="B185" t="str">
            <v>LINC ON ECOMMERCE PRIVATE LIMITED</v>
          </cell>
        </row>
        <row r="186">
          <cell r="A186" t="str">
            <v>SAR_INTERNATIONALS_B2B</v>
          </cell>
          <cell r="B186" t="str">
            <v>SAR INTERNATIONALS</v>
          </cell>
        </row>
        <row r="187">
          <cell r="A187" t="str">
            <v>SEA_TURTLE_B2B</v>
          </cell>
          <cell r="B187" t="str">
            <v>SEA TURTLE PRIVATE LIMITED</v>
          </cell>
        </row>
        <row r="188">
          <cell r="A188" t="str">
            <v>HUB_STORES_B2B</v>
          </cell>
          <cell r="B188" t="str">
            <v>HOB STORES INDIA PRIVATE LIMITED</v>
          </cell>
        </row>
        <row r="189">
          <cell r="A189" t="str">
            <v>ACCUMAX_LAB_B2B</v>
          </cell>
          <cell r="B189" t="str">
            <v>ACCUMAX LAB DEVICES PRIVATE LIMITED</v>
          </cell>
        </row>
        <row r="190">
          <cell r="A190" t="str">
            <v>SHIPKART_B2B</v>
          </cell>
          <cell r="B190" t="str">
            <v>SHIPKART SHIPPING</v>
          </cell>
        </row>
        <row r="191">
          <cell r="A191" t="str">
            <v>LA_VERNE_B2B</v>
          </cell>
          <cell r="B191" t="str">
            <v>LA VERNE</v>
          </cell>
        </row>
        <row r="192">
          <cell r="A192" t="str">
            <v>BROEKMAN_B2B</v>
          </cell>
          <cell r="B192" t="str">
            <v>BROEKMAN LOGISTICS INDIA PRIVATE LIMITED</v>
          </cell>
        </row>
        <row r="193">
          <cell r="A193" t="str">
            <v>Prateek_B2B</v>
          </cell>
          <cell r="B193" t="str">
            <v>PRATEEK ENTERPRISES</v>
          </cell>
        </row>
        <row r="194">
          <cell r="A194" t="str">
            <v>VETOQUINOL_B2B</v>
          </cell>
          <cell r="B194" t="str">
            <v>VETOQUINOL INDIA ANIMAL HEALTH PRIVATE LIMITED</v>
          </cell>
        </row>
        <row r="195">
          <cell r="A195" t="str">
            <v>DVC_EXPRESS_B2B</v>
          </cell>
          <cell r="B195" t="str">
            <v>DVC EXPRESS LOGISTICS PRIVATE LIMITED</v>
          </cell>
        </row>
        <row r="196">
          <cell r="A196" t="str">
            <v>ASHREY_B2B</v>
          </cell>
          <cell r="B196" t="str">
            <v>ASHREY LOGISTICS SOLUTION LLP</v>
          </cell>
        </row>
        <row r="197">
          <cell r="A197" t="str">
            <v>MOXIE_B2B</v>
          </cell>
          <cell r="B197" t="str">
            <v>Moxie Enterprises</v>
          </cell>
        </row>
        <row r="198">
          <cell r="A198" t="str">
            <v>Logistos_B2B</v>
          </cell>
          <cell r="B198" t="str">
            <v>LOGISTOS TECHNOLOGY PRIVATE LIMITED</v>
          </cell>
        </row>
        <row r="199">
          <cell r="A199" t="str">
            <v>TRUEX_LOGISTIC_B2B</v>
          </cell>
          <cell r="B199" t="str">
            <v>TRUEX LOGISTIC SERVICES PRIVATE LIMITED</v>
          </cell>
        </row>
        <row r="200">
          <cell r="A200" t="str">
            <v>Oxys_Beauty_B2B</v>
          </cell>
          <cell r="B200" t="str">
            <v>OXYS BEAUTY PRIVATE LIMITED</v>
          </cell>
        </row>
        <row r="201">
          <cell r="A201" t="str">
            <v>ANNAPURNA_IMPEX_B2B</v>
          </cell>
          <cell r="B201" t="str">
            <v>ANNAPURNA IMPEX</v>
          </cell>
        </row>
        <row r="202">
          <cell r="A202" t="str">
            <v>FREECULTR_B2B</v>
          </cell>
          <cell r="B202" t="str">
            <v>UNDERME BRANDS PRIVATE LIMITED</v>
          </cell>
        </row>
        <row r="203">
          <cell r="A203" t="str">
            <v>IBall_Ecom_B2B</v>
          </cell>
          <cell r="B203" t="str">
            <v>BEST IT WORLD (INDIA) PRIVATE LIMITED</v>
          </cell>
        </row>
        <row r="204">
          <cell r="A204" t="str">
            <v>Kotty_B2B</v>
          </cell>
          <cell r="B204" t="str">
            <v>KOTTY LIFESTYLE PRIVATE LIMITED</v>
          </cell>
        </row>
        <row r="205">
          <cell r="A205" t="str">
            <v>Shree_International_B2B</v>
          </cell>
          <cell r="B205" t="str">
            <v>SHREE INTERNATIONAL COURIER AND CARGO SERVICES</v>
          </cell>
        </row>
        <row r="206">
          <cell r="A206" t="str">
            <v>UNIVERSAL_B2B</v>
          </cell>
          <cell r="B206" t="str">
            <v>UNIVERSAL CORPORATION LIMITED</v>
          </cell>
        </row>
        <row r="207">
          <cell r="A207" t="str">
            <v>Amul_Macho_B2B</v>
          </cell>
          <cell r="B207" t="str">
            <v>J G HOSIERY PRIVATE LIMITED</v>
          </cell>
        </row>
        <row r="208">
          <cell r="A208" t="str">
            <v>TEAKWOOD_B2B</v>
          </cell>
          <cell r="B208" t="str">
            <v>TEAKWOOD</v>
          </cell>
        </row>
        <row r="209">
          <cell r="A209" t="str">
            <v>YORK_B2B</v>
          </cell>
          <cell r="B209" t="str">
            <v>YORK PRINT PRIVATE LIMITED</v>
          </cell>
        </row>
        <row r="210">
          <cell r="A210" t="str">
            <v>OLIVEWARE_B2B</v>
          </cell>
          <cell r="B210" t="str">
            <v>SPEEDEX OVERSEAS PVT LTD</v>
          </cell>
        </row>
        <row r="211">
          <cell r="A211" t="str">
            <v>Globate_360_B2B</v>
          </cell>
          <cell r="B211" t="str">
            <v>GLOBATE 360 SOLUTIONS PRIVATE LIMITED</v>
          </cell>
        </row>
        <row r="212">
          <cell r="A212" t="str">
            <v>ASIAN_FOOTWEARS_B2B</v>
          </cell>
          <cell r="B212" t="str">
            <v>ASIAN FOOTWEARS PRIVATE LIMITED</v>
          </cell>
        </row>
        <row r="213">
          <cell r="A213" t="str">
            <v>FOUR_ACES_B2B</v>
          </cell>
          <cell r="B213" t="str">
            <v>Four Aces Fashion House Private Limited</v>
          </cell>
        </row>
        <row r="214">
          <cell r="A214" t="str">
            <v>NATURE_B2B</v>
          </cell>
          <cell r="B214" t="str">
            <v>NATURE MAGIC WORLD</v>
          </cell>
        </row>
        <row r="215">
          <cell r="A215" t="str">
            <v>SAWAN_B2B</v>
          </cell>
          <cell r="B215" t="str">
            <v>SAWAN AGENCIES</v>
          </cell>
        </row>
        <row r="216">
          <cell r="A216" t="str">
            <v>Visage_Line_Personal_B2B</v>
          </cell>
          <cell r="B216" t="str">
            <v>VISAGE LINES PERSONAL CARE PRIVATE LIMITED</v>
          </cell>
        </row>
        <row r="217">
          <cell r="A217" t="str">
            <v>ARSH_EXPRESS_B2B</v>
          </cell>
          <cell r="B217" t="str">
            <v>ARSH EXPRESS</v>
          </cell>
        </row>
        <row r="218">
          <cell r="A218" t="str">
            <v>PEPING_B2B</v>
          </cell>
          <cell r="B218" t="str">
            <v>PEPING COMMERCE PRIVATE LIMITED</v>
          </cell>
        </row>
        <row r="219">
          <cell r="A219" t="str">
            <v>ONDESK_B2B</v>
          </cell>
          <cell r="B219" t="str">
            <v>ONDESK VENTURES PRIVATE LIMITED</v>
          </cell>
        </row>
        <row r="220">
          <cell r="A220" t="str">
            <v>UBER_FASHION_B2B</v>
          </cell>
          <cell r="B220" t="str">
            <v>UBER FASHION MERCHANDISE PRIVATE LIMITED</v>
          </cell>
        </row>
        <row r="221">
          <cell r="A221" t="str">
            <v>CHASE_LIFESTYLE_B2B</v>
          </cell>
          <cell r="B221" t="str">
            <v>CHASE LIFESTYLE PRIVATE LIMITED</v>
          </cell>
        </row>
        <row r="222">
          <cell r="A222" t="str">
            <v>DABSTER_B2B</v>
          </cell>
          <cell r="B222" t="str">
            <v>DABSTER INTERNATIONAL PRIVATE LIMITED</v>
          </cell>
        </row>
        <row r="223">
          <cell r="A223" t="str">
            <v>BULLWORK_MOBILITY_B2B</v>
          </cell>
          <cell r="B223" t="str">
            <v>BULLWORK MOBILITY PRIVATE LIMITED</v>
          </cell>
        </row>
        <row r="224">
          <cell r="A224" t="str">
            <v>PT_LOGISTICS_B2B</v>
          </cell>
          <cell r="B224" t="str">
            <v>P AND T LOGISTICS</v>
          </cell>
        </row>
        <row r="225">
          <cell r="A225" t="str">
            <v>MANANS_B2B</v>
          </cell>
          <cell r="B225" t="str">
            <v>MANAN'S COLLECTION HOUSE</v>
          </cell>
        </row>
        <row r="226">
          <cell r="A226" t="str">
            <v>COFFEE_B2B</v>
          </cell>
          <cell r="B226" t="str">
            <v>S. L .N COFFEE PRIVATE LIMITED</v>
          </cell>
        </row>
        <row r="227">
          <cell r="A227" t="str">
            <v>MFOR_MILLET_B2B</v>
          </cell>
          <cell r="B227" t="str">
            <v>MFORMILLET FOODS PRIVATE LIMITED</v>
          </cell>
        </row>
        <row r="228">
          <cell r="A228" t="str">
            <v>CLASSIC_DISPLAY_B2B</v>
          </cell>
          <cell r="B228" t="str">
            <v>CLASSIC DISPLAY SYSTEMS PRIVATE LIMITED</v>
          </cell>
        </row>
        <row r="229">
          <cell r="A229" t="str">
            <v>GARUDA_B2B</v>
          </cell>
          <cell r="B229" t="str">
            <v>GARUDA POLYFLEX FOODS PRIVATE LIMITED</v>
          </cell>
        </row>
        <row r="230">
          <cell r="A230" t="str">
            <v>RIDDHI_B2B</v>
          </cell>
          <cell r="B230" t="str">
            <v>RIDDHI SIDDHI FABRICATION</v>
          </cell>
        </row>
        <row r="231">
          <cell r="A231" t="str">
            <v>4TH_PHARMA_B2B</v>
          </cell>
          <cell r="B231" t="str">
            <v>4THD PHARMA PRIVATE LIMITED</v>
          </cell>
        </row>
        <row r="232">
          <cell r="A232" t="str">
            <v>COFFEE_DAY_B2B</v>
          </cell>
          <cell r="B232" t="str">
            <v>COFFEE DAY GLOBAL LIMITED</v>
          </cell>
        </row>
        <row r="233">
          <cell r="A233" t="str">
            <v>CRAVE_B2B</v>
          </cell>
          <cell r="B233" t="str">
            <v>CRAVE CLOTHING COMPANY PRIVATE LIMITED</v>
          </cell>
        </row>
        <row r="234">
          <cell r="A234" t="str">
            <v>NANDINI_B2B</v>
          </cell>
          <cell r="B234" t="str">
            <v>NANDINI SALES CORPORATION</v>
          </cell>
        </row>
        <row r="235">
          <cell r="A235" t="str">
            <v>RECORN_FOODS_B2B</v>
          </cell>
          <cell r="B235" t="str">
            <v>RECORN FOODS PRIVATE LIMITED</v>
          </cell>
        </row>
        <row r="236">
          <cell r="A236" t="str">
            <v>HOLISTIQUE_B2B</v>
          </cell>
          <cell r="B236" t="str">
            <v>HOLISTIQUE BEAUTY PRODUCTS PRIVATE LIMITED</v>
          </cell>
        </row>
        <row r="237">
          <cell r="A237" t="str">
            <v>ADITYA_ENTERPRISES_B2B</v>
          </cell>
          <cell r="B237" t="str">
            <v>ADITYA ENTERPRISES</v>
          </cell>
        </row>
        <row r="238">
          <cell r="A238" t="str">
            <v>INDO_COUNT_B2B</v>
          </cell>
          <cell r="B238" t="str">
            <v>INDO COUNT INDUSTRIES LIMITED</v>
          </cell>
        </row>
        <row r="239">
          <cell r="A239" t="str">
            <v>ORNAWARE_B2B</v>
          </cell>
          <cell r="B239" t="str">
            <v>ORNAWARE FINESSE PRIVATE LIMITED</v>
          </cell>
        </row>
        <row r="240">
          <cell r="A240" t="str">
            <v>Century_Ply_B2B</v>
          </cell>
          <cell r="B240" t="str">
            <v>Century Plyboards India Limited</v>
          </cell>
        </row>
        <row r="241">
          <cell r="A241" t="str">
            <v>Asia_Parcel_B2B</v>
          </cell>
          <cell r="B241" t="str">
            <v>ASIA PARCEL SERVICE PRIVATE LIMITED</v>
          </cell>
        </row>
        <row r="242">
          <cell r="A242" t="str">
            <v>SS_GLOBAL_B2B</v>
          </cell>
          <cell r="B242" t="str">
            <v>S S GLOBAL LOGISTICS</v>
          </cell>
        </row>
        <row r="243">
          <cell r="A243" t="str">
            <v>TAPFIT_LIFESTYLES_B2B</v>
          </cell>
          <cell r="B243" t="str">
            <v>TAPFIT LIFESTYLES</v>
          </cell>
        </row>
        <row r="244">
          <cell r="A244" t="str">
            <v>ECOVERVA_B2B</v>
          </cell>
          <cell r="B244" t="str">
            <v>ECOVERVA E-WASTE RECYCLING PRIVATE LIMITED</v>
          </cell>
        </row>
        <row r="245">
          <cell r="A245" t="str">
            <v>MOTOVOLT_B2B</v>
          </cell>
          <cell r="B245" t="str">
            <v>MOTOVOLT MOBILITY PRIVATE LIMITED</v>
          </cell>
        </row>
        <row r="246">
          <cell r="A246" t="str">
            <v>OM_INTERNATIOPNAL_B2B</v>
          </cell>
          <cell r="B246" t="str">
            <v>OM INTERNATIOPNAL</v>
          </cell>
        </row>
        <row r="247">
          <cell r="A247" t="str">
            <v>NUTRABAY_B2B</v>
          </cell>
          <cell r="B247" t="str">
            <v>NUTRABAY RETAIL PRIVATE LIMITED</v>
          </cell>
        </row>
        <row r="248">
          <cell r="A248" t="str">
            <v>HORNBACK_B2B</v>
          </cell>
          <cell r="B248" t="str">
            <v>HORNBACK E-MOBILITY PRIVATE LIMITED</v>
          </cell>
        </row>
        <row r="249">
          <cell r="A249" t="str">
            <v>SPENCER_B2B</v>
          </cell>
          <cell r="B249" t="str">
            <v>SPENCER'S RETAIL LIMITED</v>
          </cell>
        </row>
        <row r="250">
          <cell r="A250" t="str">
            <v>SRN_B2B</v>
          </cell>
          <cell r="B250" t="str">
            <v>SRN LOGITECH PRIVATE LIMITED</v>
          </cell>
        </row>
        <row r="251">
          <cell r="A251" t="str">
            <v>AMITOJE_B2B</v>
          </cell>
          <cell r="B251" t="str">
            <v>AMITOJE INDIA PRIVATE LIMITED</v>
          </cell>
        </row>
        <row r="252">
          <cell r="A252" t="str">
            <v>SYNFOCOM_B2B</v>
          </cell>
          <cell r="B252" t="str">
            <v>SYNFOCOM SYSTEMS LLP</v>
          </cell>
        </row>
        <row r="253">
          <cell r="A253" t="str">
            <v>PINPOINT_SALES_LLP</v>
          </cell>
          <cell r="B253" t="str">
            <v>PIN POINT SALES LLP</v>
          </cell>
        </row>
        <row r="254">
          <cell r="A254" t="str">
            <v>AJANTA_B2B</v>
          </cell>
          <cell r="B254" t="str">
            <v>AJANTA FOOTCARE INDIA PRIVATE LIMITED</v>
          </cell>
        </row>
        <row r="255">
          <cell r="A255" t="str">
            <v>CORISE_B2B</v>
          </cell>
          <cell r="B255" t="str">
            <v>CORISE HEALTH CARE PRIVATE LIMITED</v>
          </cell>
        </row>
        <row r="256">
          <cell r="A256" t="str">
            <v>Bright_Lifecare_B2B</v>
          </cell>
          <cell r="B256" t="str">
            <v>BRIGHT LIFECARE PRIVATE LIMITED</v>
          </cell>
        </row>
        <row r="257">
          <cell r="A257" t="str">
            <v>HAMILTON_B2B</v>
          </cell>
          <cell r="B257" t="str">
            <v>HAMILTON SCIENCES PRIVATE LIMITED</v>
          </cell>
        </row>
        <row r="258">
          <cell r="A258" t="str">
            <v>JJ_MAHILA_B2B</v>
          </cell>
          <cell r="B258" t="str">
            <v>J J MAHILA GRUH UDHYOG</v>
          </cell>
        </row>
        <row r="259">
          <cell r="A259" t="str">
            <v>Baltra_B2B</v>
          </cell>
          <cell r="B259" t="str">
            <v>SHREE BALAJEE HOME PRODUCTS PRIVATE LIMITED</v>
          </cell>
        </row>
        <row r="260">
          <cell r="A260" t="str">
            <v>Renee_Cosmetics_B2B</v>
          </cell>
          <cell r="B260" t="str">
            <v>RENEE COSMETICS PRIVATE LIMITED</v>
          </cell>
        </row>
        <row r="261">
          <cell r="A261" t="str">
            <v>ARV_INDUSTRIES_B2B</v>
          </cell>
          <cell r="B261" t="str">
            <v>ARV INDUSTRIES</v>
          </cell>
        </row>
        <row r="262">
          <cell r="A262" t="str">
            <v>SUMUKH_ENTERPRISE_B2B</v>
          </cell>
          <cell r="B262" t="str">
            <v>SUMUKH ENTERPRISE</v>
          </cell>
        </row>
        <row r="263">
          <cell r="A263" t="str">
            <v>HYPHEN_B2B</v>
          </cell>
          <cell r="B263" t="str">
            <v>HYPHEN GARMENTS PRIVATE LIMITED</v>
          </cell>
        </row>
        <row r="264">
          <cell r="A264" t="str">
            <v>MEDITREE_B2B</v>
          </cell>
          <cell r="B264" t="str">
            <v>MEDITREE LIFECARE LLP</v>
          </cell>
        </row>
        <row r="265">
          <cell r="A265" t="str">
            <v>FABHR_B2B</v>
          </cell>
          <cell r="B265" t="str">
            <v>FAB HR SOLUTION PRIVATE LIMITED</v>
          </cell>
        </row>
        <row r="266">
          <cell r="A266" t="str">
            <v>ORIENT_PACK_B2B</v>
          </cell>
          <cell r="B266" t="str">
            <v>ORIENT PACK N PRINT</v>
          </cell>
        </row>
        <row r="267">
          <cell r="A267" t="str">
            <v>Kutchina_B2B</v>
          </cell>
          <cell r="B267" t="str">
            <v>KUTCHINA HOME MAKERS PRIVATE LIMITED</v>
          </cell>
        </row>
        <row r="268">
          <cell r="A268" t="str">
            <v>OPEN_SOURCE_B2B</v>
          </cell>
          <cell r="B268" t="str">
            <v>OPEN SOURCE BUSINESS SOLUTIONS PRIVATE LIMITED</v>
          </cell>
        </row>
        <row r="269">
          <cell r="A269" t="str">
            <v>BRAND_POWER_B2B</v>
          </cell>
          <cell r="B269" t="str">
            <v>BRAND POWER</v>
          </cell>
        </row>
        <row r="270">
          <cell r="A270" t="str">
            <v>NEWS_EXPRESS_B2B</v>
          </cell>
          <cell r="B270" t="str">
            <v>NEWS EXPRESS SOLUTIONS PRIVATE LIMITED</v>
          </cell>
        </row>
        <row r="271">
          <cell r="A271" t="str">
            <v>RATAN_B2B</v>
          </cell>
          <cell r="B271" t="str">
            <v>RATAN AYURVEDIC SANSTHAN</v>
          </cell>
        </row>
        <row r="272">
          <cell r="A272" t="str">
            <v>BHAIRAVNATH_IMPEX_B2B</v>
          </cell>
          <cell r="B272" t="str">
            <v>BHAIRAVNATH IMPEX</v>
          </cell>
        </row>
        <row r="273">
          <cell r="A273" t="str">
            <v>UNIVISION_B2B</v>
          </cell>
          <cell r="B273" t="str">
            <v>Univision Foods Private Limited</v>
          </cell>
        </row>
        <row r="274">
          <cell r="A274" t="str">
            <v>MY_DESIGNATION_B2B</v>
          </cell>
          <cell r="B274" t="str">
            <v>MY DESIGNATION ONLINE CLOTHING PRIVATE LIMITED</v>
          </cell>
        </row>
        <row r="275">
          <cell r="A275" t="str">
            <v>SRI_ANJANEYA _B2B</v>
          </cell>
          <cell r="B275" t="str">
            <v>SRI ANJANEYA POLYMERS INDIA PVT LTD</v>
          </cell>
        </row>
        <row r="276">
          <cell r="A276" t="str">
            <v>CARGOWALE_B2B</v>
          </cell>
          <cell r="B276" t="str">
            <v>B2B CARGOWALE PRIVATE LIMITED</v>
          </cell>
        </row>
        <row r="277">
          <cell r="A277" t="str">
            <v>SANWARIYA_B2B</v>
          </cell>
          <cell r="B277" t="str">
            <v>SANWARIYA ARTS</v>
          </cell>
        </row>
        <row r="278">
          <cell r="A278" t="str">
            <v>SSIZ_B2B</v>
          </cell>
          <cell r="B278" t="str">
            <v>SSIZ INTERNATIONAL PRIVATE LIMITED</v>
          </cell>
        </row>
        <row r="279">
          <cell r="A279" t="str">
            <v>MOULSHREE_IMPEX_B2B</v>
          </cell>
          <cell r="B279" t="str">
            <v>MOULSHREE IMPEX</v>
          </cell>
        </row>
        <row r="280">
          <cell r="A280" t="str">
            <v>MK_INCORP_B2B</v>
          </cell>
          <cell r="B280" t="str">
            <v>M.K. INCORPORATION</v>
          </cell>
        </row>
        <row r="281">
          <cell r="A281" t="str">
            <v>AQUAGENICS_B2B</v>
          </cell>
          <cell r="B281" t="str">
            <v>AQUAGENICS RESEARCH &amp; DEVELOPMENT INDIA PRIVATE LIMITED</v>
          </cell>
        </row>
        <row r="282">
          <cell r="A282" t="str">
            <v>KONEXSPORTS_B2B</v>
          </cell>
          <cell r="B282" t="str">
            <v>UP TO DATE PRODUCTS</v>
          </cell>
        </row>
        <row r="283">
          <cell r="A283" t="str">
            <v>SEIBERT_B2B</v>
          </cell>
          <cell r="B283" t="str">
            <v>SEIBERT HEALTHCARE INDIA PRIVATE LIMITED</v>
          </cell>
        </row>
        <row r="284">
          <cell r="A284" t="str">
            <v>JK_GYPSUM_INWARD_B2B</v>
          </cell>
          <cell r="B284" t="str">
            <v>JK GYPSUM PRIVATE LIMITED</v>
          </cell>
        </row>
        <row r="285">
          <cell r="A285" t="str">
            <v>IMEX_PLASTICS_B2B</v>
          </cell>
          <cell r="B285" t="str">
            <v>IMEX PLASTICS INDIA PRIVATE LIMITED</v>
          </cell>
        </row>
        <row r="286">
          <cell r="A286" t="str">
            <v>THE_SHIVAKSH_B2B</v>
          </cell>
          <cell r="B286" t="str">
            <v>The Shivaksh</v>
          </cell>
        </row>
        <row r="287">
          <cell r="A287" t="str">
            <v>AUSTRALIAN_FOODS_B2B</v>
          </cell>
          <cell r="B287" t="str">
            <v>AUSTRALIAN FOODS INDIA PRIVATE LIMITED</v>
          </cell>
        </row>
        <row r="288">
          <cell r="A288" t="str">
            <v>LUXRIO_B2B</v>
          </cell>
          <cell r="B288" t="str">
            <v>LUXRIO DESIGNS</v>
          </cell>
        </row>
        <row r="289">
          <cell r="A289" t="str">
            <v>SAYAJI_B2B</v>
          </cell>
          <cell r="B289" t="str">
            <v>SAYAJI FOODS PRIVATE LIMITED</v>
          </cell>
        </row>
        <row r="290">
          <cell r="A290" t="str">
            <v>ARAV_EXPORTS_B2B</v>
          </cell>
          <cell r="B290" t="str">
            <v>ARAV EXPORTS PRIVATE LIMITED</v>
          </cell>
        </row>
        <row r="291">
          <cell r="A291" t="str">
            <v>REX_INDUSTRIES_B2B</v>
          </cell>
          <cell r="B291" t="str">
            <v>REX INDUSTRIES INDIA PRIVATE LIMITED</v>
          </cell>
        </row>
        <row r="292">
          <cell r="A292" t="str">
            <v>HS_STUDIO_B2B</v>
          </cell>
          <cell r="B292" t="str">
            <v>H &amp; S STUDIO LLP</v>
          </cell>
        </row>
        <row r="293">
          <cell r="A293" t="str">
            <v>Seshasaai_kundli_B2B</v>
          </cell>
          <cell r="B293" t="str">
            <v>SESHAASAI TECHNOLOGIES LIMITED</v>
          </cell>
        </row>
        <row r="294">
          <cell r="A294" t="str">
            <v>TEC_LOG_B2B</v>
          </cell>
          <cell r="B294" t="str">
            <v>TEC Log Services</v>
          </cell>
        </row>
        <row r="295">
          <cell r="A295" t="str">
            <v>KUNAL_PRINTS_B2B</v>
          </cell>
          <cell r="B295" t="str">
            <v>KUNAL PRINTS</v>
          </cell>
        </row>
        <row r="296">
          <cell r="A296" t="str">
            <v>TIME_BOUND_B2B</v>
          </cell>
          <cell r="B296" t="str">
            <v>TIME BOUND</v>
          </cell>
        </row>
        <row r="297">
          <cell r="A297" t="str">
            <v>CJ_DARCL_CERAGEM_B2B</v>
          </cell>
          <cell r="B297" t="str">
            <v>CJ DARCL LOGISTICS LIMITED</v>
          </cell>
        </row>
        <row r="298">
          <cell r="A298" t="str">
            <v>AIRLINE_TURBO_B2B</v>
          </cell>
          <cell r="B298" t="str">
            <v>AIRLINE TURBO LOGISTICS INDIA PRIVATE LIMITED</v>
          </cell>
        </row>
        <row r="299">
          <cell r="A299" t="str">
            <v>TCE_LOGISTICS_B2B</v>
          </cell>
          <cell r="B299" t="str">
            <v>TCE LOGISTICS</v>
          </cell>
        </row>
        <row r="300">
          <cell r="A300" t="str">
            <v>VIRISA_SPORTS_B2B</v>
          </cell>
          <cell r="B300" t="str">
            <v>VIRISA SPORTS PRIVATE LIMITED</v>
          </cell>
        </row>
        <row r="301">
          <cell r="A301" t="str">
            <v>VAISHNAVI_B2B</v>
          </cell>
          <cell r="B301" t="str">
            <v>VAISHNAVI AGROTECHE PRIVATE LIMITED</v>
          </cell>
        </row>
        <row r="302">
          <cell r="A302" t="str">
            <v>VS_PRODUCTS_B2B</v>
          </cell>
          <cell r="B302" t="str">
            <v>V S PRODUCTS PRIVATE LIMITED</v>
          </cell>
        </row>
        <row r="303">
          <cell r="A303" t="str">
            <v>Samara_B2B</v>
          </cell>
          <cell r="B303" t="str">
            <v>SAMARA RETAIL INDIA PRIVATE LIMITED</v>
          </cell>
        </row>
        <row r="304">
          <cell r="A304" t="str">
            <v>BENESWIFT_B2B</v>
          </cell>
          <cell r="B304" t="str">
            <v>BENESWIFT LOGISTICS SOLUTIONS</v>
          </cell>
        </row>
        <row r="305">
          <cell r="A305" t="str">
            <v>KHADI_B2B</v>
          </cell>
          <cell r="B305" t="str">
            <v>KHADI NATURAL HEALTHCARE</v>
          </cell>
        </row>
        <row r="306">
          <cell r="A306" t="str">
            <v>Shipclues_B2B</v>
          </cell>
          <cell r="B306" t="str">
            <v>SHIPCLUES TECHNOLOGIES PRIVATE LIMITED</v>
          </cell>
        </row>
        <row r="307">
          <cell r="A307" t="str">
            <v>COSMOS_B2B</v>
          </cell>
          <cell r="B307" t="str">
            <v>COSMOS INTERNATIONAL</v>
          </cell>
        </row>
        <row r="308">
          <cell r="A308" t="str">
            <v>DEVYSUN_B2B</v>
          </cell>
          <cell r="B308" t="str">
            <v>DEVYSUN SALES &amp; DISTRIBUTION PRIVATE LIMITED</v>
          </cell>
        </row>
        <row r="309">
          <cell r="A309" t="str">
            <v>VIDYA_WIRES_B2B</v>
          </cell>
          <cell r="B309" t="str">
            <v>VIDYA WIRES LIMITED</v>
          </cell>
        </row>
        <row r="310">
          <cell r="A310" t="str">
            <v>BIGHUB_B2B</v>
          </cell>
          <cell r="B310" t="str">
            <v>BIGHUB SOLUTIONS PRIVATE LIMITED</v>
          </cell>
        </row>
        <row r="311">
          <cell r="A311" t="str">
            <v>SVR_B2B</v>
          </cell>
          <cell r="B311" t="str">
            <v>SVR ENTERPRISES</v>
          </cell>
        </row>
        <row r="312">
          <cell r="A312" t="str">
            <v>ANKITA_B2B</v>
          </cell>
          <cell r="B312" t="str">
            <v>ANKITA LIFE STYLE PRIVATE LIMITED</v>
          </cell>
        </row>
        <row r="313">
          <cell r="A313" t="str">
            <v>AAJ_ENTERPRISES_B2B</v>
          </cell>
          <cell r="B313" t="str">
            <v>AAJ SUPPLY CHAIN MANAGEMENT PRIVATE LIMITED</v>
          </cell>
        </row>
        <row r="314">
          <cell r="A314" t="str">
            <v>SHREE_TRADERS_B2B</v>
          </cell>
          <cell r="B314" t="str">
            <v>SHREE TRADERS</v>
          </cell>
        </row>
        <row r="315">
          <cell r="A315" t="str">
            <v>MAVEE_B2B</v>
          </cell>
          <cell r="B315" t="str">
            <v>Mavee Foods Private Limited</v>
          </cell>
        </row>
        <row r="316">
          <cell r="A316" t="str">
            <v>KING_CORE_B2B</v>
          </cell>
          <cell r="B316" t="str">
            <v>KingCore</v>
          </cell>
        </row>
        <row r="317">
          <cell r="A317" t="str">
            <v>USANA_B2B</v>
          </cell>
          <cell r="B317" t="str">
            <v>USANA HEALTH SCIENCES INDIA PRIVATE LIMITED</v>
          </cell>
        </row>
        <row r="318">
          <cell r="A318" t="str">
            <v>SIDDHAM_B2B</v>
          </cell>
          <cell r="B318" t="str">
            <v>SIDDHAM CREATIONS</v>
          </cell>
        </row>
        <row r="319">
          <cell r="A319" t="str">
            <v>SILVER_LEAF_B2B</v>
          </cell>
          <cell r="B319" t="str">
            <v>SILVER LEAF TEA PRIVATE LIMITED</v>
          </cell>
        </row>
        <row r="320">
          <cell r="A320" t="str">
            <v>BEAUTY_IMPEX_B2B</v>
          </cell>
          <cell r="B320" t="str">
            <v>BEAUTY IMPEX PRIVATE LIMITED</v>
          </cell>
        </row>
        <row r="321">
          <cell r="A321" t="str">
            <v>INDIEJEWEL_B2B</v>
          </cell>
          <cell r="B321" t="str">
            <v>INDIEJEWEL FASHIONS PRIVATE LIMITED</v>
          </cell>
        </row>
        <row r="322">
          <cell r="A322" t="str">
            <v>VELMOC_B2B</v>
          </cell>
          <cell r="B322" t="str">
            <v>VELMOC INTERNATIONAL</v>
          </cell>
        </row>
        <row r="323">
          <cell r="A323" t="str">
            <v>ZIPYPOST_B2B</v>
          </cell>
          <cell r="B323" t="str">
            <v>ZIPYPOST TECH PRIVATE LIMITED</v>
          </cell>
        </row>
        <row r="324">
          <cell r="A324" t="str">
            <v>MICRO_NANO_B2B</v>
          </cell>
          <cell r="B324" t="str">
            <v>MICRO &amp; NANOTECHNOLOGIES</v>
          </cell>
        </row>
        <row r="325">
          <cell r="A325" t="str">
            <v>FLEXI_GO_B2B</v>
          </cell>
          <cell r="B325" t="str">
            <v>FLEXI GO INDIA PRIVATE LIMITED</v>
          </cell>
        </row>
        <row r="326">
          <cell r="A326" t="str">
            <v>AETRIO_TECHNOLOGY_B2B</v>
          </cell>
          <cell r="B326" t="str">
            <v>AETRIO TECHNOLOGY INDIA PRIVATE LIMITED</v>
          </cell>
        </row>
        <row r="327">
          <cell r="A327" t="str">
            <v>OCEYAN_B2B</v>
          </cell>
          <cell r="B327" t="str">
            <v>OCEYAN FUNFOODS PRIVATE LIMITED</v>
          </cell>
        </row>
        <row r="328">
          <cell r="A328" t="str">
            <v>SUNLIGHT_B2B</v>
          </cell>
          <cell r="B328" t="str">
            <v>SUNLIGHT SPORTS GLOBAL PRIVATE LIMITED</v>
          </cell>
        </row>
        <row r="329">
          <cell r="A329" t="str">
            <v>TEJAS_CARRIERS_B2B</v>
          </cell>
          <cell r="B329" t="str">
            <v>TEJAS CARGO CARRIERS</v>
          </cell>
        </row>
        <row r="330">
          <cell r="A330" t="str">
            <v>KAMDHENU_B2B</v>
          </cell>
          <cell r="B330" t="str">
            <v>Kamdhenu Colour and Coatings Limited</v>
          </cell>
        </row>
        <row r="331">
          <cell r="A331" t="str">
            <v>BRIOTA_B2B</v>
          </cell>
          <cell r="B331" t="str">
            <v>BRIOTA BRANDS PRIVATE LIMITED</v>
          </cell>
        </row>
        <row r="332">
          <cell r="A332" t="str">
            <v>TENSOR_LOGISTICS_B2B</v>
          </cell>
          <cell r="B332" t="str">
            <v>TENSOR LOGISTICS PRIVATE LIMITED</v>
          </cell>
        </row>
        <row r="333">
          <cell r="A333" t="str">
            <v>Echelon_B2B</v>
          </cell>
          <cell r="B333" t="str">
            <v>ECHELON PACKAGING</v>
          </cell>
        </row>
        <row r="334">
          <cell r="A334" t="str">
            <v>ALPINO_B2B</v>
          </cell>
          <cell r="B334" t="str">
            <v>ALPINO HEALTH FOODS PRIVATE LIMITED</v>
          </cell>
        </row>
        <row r="335">
          <cell r="A335" t="str">
            <v>JET_GLOBAL_B2B</v>
          </cell>
          <cell r="B335" t="str">
            <v>JET GLOBAL AIR AND CARGO LOGISTICS</v>
          </cell>
        </row>
        <row r="336">
          <cell r="B336" t="str">
            <v>RAW HIMALAYAS</v>
          </cell>
        </row>
        <row r="337">
          <cell r="A337" t="str">
            <v>NUTRISENSE_B2B</v>
          </cell>
          <cell r="B337" t="str">
            <v>NUTRISENSE AGRO PRODUCTS PRIVATE LIMITED</v>
          </cell>
        </row>
        <row r="338">
          <cell r="A338" t="str">
            <v>Pine_Labs_B2B</v>
          </cell>
          <cell r="B338" t="str">
            <v>Pine Labs Limited</v>
          </cell>
        </row>
        <row r="339">
          <cell r="A339" t="str">
            <v>AFOUR_B2B</v>
          </cell>
          <cell r="B339" t="str">
            <v>A FOUR ALL TECK WARE</v>
          </cell>
        </row>
        <row r="340">
          <cell r="A340" t="str">
            <v>PEORA_B2B</v>
          </cell>
          <cell r="B340" t="str">
            <v>PEORA FASHIONS PRIVATE LIMITED</v>
          </cell>
        </row>
        <row r="341">
          <cell r="A341" t="str">
            <v>TIBREWALA_B2B</v>
          </cell>
          <cell r="B341" t="str">
            <v>TIBREWALA ELECTRONICS LIMITED</v>
          </cell>
        </row>
        <row r="342">
          <cell r="A342" t="str">
            <v>GRAND_SPEED_B2B</v>
          </cell>
          <cell r="B342" t="str">
            <v>GRAND SPEED NETWORK PRIVATE LIMITED</v>
          </cell>
        </row>
        <row r="343">
          <cell r="A343" t="str">
            <v>AIRMAIL_B2B</v>
          </cell>
          <cell r="B343" t="str">
            <v>AIRMAIL EXPRESS AMEX</v>
          </cell>
        </row>
        <row r="344">
          <cell r="A344" t="str">
            <v>NONA_B2B</v>
          </cell>
          <cell r="B344" t="str">
            <v>NONA LIFESTYLE PRIVATE LIMITED</v>
          </cell>
        </row>
        <row r="345">
          <cell r="A345" t="str">
            <v>SANKET_B2B</v>
          </cell>
          <cell r="B345" t="str">
            <v>SANKET FREIGHT EXPRESS AND LOGISTICS</v>
          </cell>
        </row>
        <row r="346">
          <cell r="A346" t="str">
            <v>Amruta_Herbals_B2B</v>
          </cell>
          <cell r="B346" t="str">
            <v>AMRUTA HERBALS PRIVATE LIMTIED</v>
          </cell>
        </row>
        <row r="347">
          <cell r="A347" t="str">
            <v>KUMAR_B2B</v>
          </cell>
          <cell r="B347" t="str">
            <v>KUMAR ENTERPRISES</v>
          </cell>
        </row>
        <row r="348">
          <cell r="A348" t="str">
            <v>SASASA_B2B</v>
          </cell>
          <cell r="B348" t="str">
            <v>SASASA INTERNATIONAL PRIVATE LIMITED</v>
          </cell>
        </row>
        <row r="349">
          <cell r="A349" t="str">
            <v>PRICOL_B2B</v>
          </cell>
          <cell r="B349" t="str">
            <v>PRICOL LOGISTICS PRIVATE LIMITED</v>
          </cell>
        </row>
        <row r="350">
          <cell r="A350" t="str">
            <v>BLUESQUAD_B2B</v>
          </cell>
          <cell r="B350" t="str">
            <v>BLUESQUAD FASHION PRIVATE LIMITED</v>
          </cell>
        </row>
        <row r="351">
          <cell r="A351" t="str">
            <v>TRISHA_B2B</v>
          </cell>
          <cell r="B351" t="str">
            <v>TRISHA EXPRESS PRIVATE LIMITED</v>
          </cell>
        </row>
        <row r="352">
          <cell r="A352" t="str">
            <v>NASH_ENERGY_B2B</v>
          </cell>
          <cell r="B352" t="str">
            <v>NASH ENERGY (I) PRIVATE LIMITED</v>
          </cell>
        </row>
        <row r="353">
          <cell r="A353" t="str">
            <v>NUTRALIFE_FOODS_B2B</v>
          </cell>
          <cell r="B353" t="str">
            <v>NUTRALIFE FOODS LLP</v>
          </cell>
        </row>
        <row r="354">
          <cell r="A354" t="str">
            <v>MYSTIQUE_B2B</v>
          </cell>
          <cell r="B354" t="str">
            <v>Mystique Couture Private Limited</v>
          </cell>
        </row>
        <row r="355">
          <cell r="A355" t="str">
            <v>1MG_B2B</v>
          </cell>
          <cell r="B355" t="str">
            <v>TATA 1MG HEALTHCARE SOLUTIONS PRIVATE LIMITED</v>
          </cell>
        </row>
        <row r="356">
          <cell r="A356" t="str">
            <v>AWESOMEFAB_B2B</v>
          </cell>
          <cell r="B356" t="str">
            <v>AWESOMEFAB SHOPPING PRIVATE LIMITED</v>
          </cell>
        </row>
        <row r="357">
          <cell r="A357" t="str">
            <v>SEOUL_IMPEX_B2B</v>
          </cell>
          <cell r="B357" t="str">
            <v>SEOUL IMPEX</v>
          </cell>
        </row>
        <row r="358">
          <cell r="A358" t="str">
            <v>PD_Logistics_B2B</v>
          </cell>
          <cell r="B358" t="str">
            <v>PD LOGISTICS</v>
          </cell>
        </row>
        <row r="359">
          <cell r="A359" t="str">
            <v>SPEAR_PACK_B2B</v>
          </cell>
          <cell r="B359" t="str">
            <v>SPEAR PACK PRIVATE LIMITED</v>
          </cell>
        </row>
        <row r="360">
          <cell r="A360" t="str">
            <v>MICROPARK_B2B</v>
          </cell>
          <cell r="B360" t="str">
            <v>MICROPARK LOGISTICS PRIVATE LIMITED</v>
          </cell>
        </row>
        <row r="361">
          <cell r="A361" t="str">
            <v>LOSUNG_360_B2B</v>
          </cell>
          <cell r="B361" t="str">
            <v>LOSUNG 360 PRIVATE LIMITED</v>
          </cell>
        </row>
        <row r="362">
          <cell r="A362" t="str">
            <v>STYLE_WAVES_B2B</v>
          </cell>
          <cell r="B362" t="str">
            <v>STYLE WAVES LLP</v>
          </cell>
        </row>
        <row r="363">
          <cell r="A363" t="str">
            <v>LIGHTHOUSE_B2B</v>
          </cell>
          <cell r="B363" t="str">
            <v>Lighthouse Learning Private Limited</v>
          </cell>
        </row>
        <row r="364">
          <cell r="A364" t="str">
            <v>KARGOSERVE_B2B</v>
          </cell>
          <cell r="B364" t="str">
            <v>KARGOSERVE</v>
          </cell>
        </row>
        <row r="365">
          <cell r="A365" t="str">
            <v>EZYII_EXIM_B2B</v>
          </cell>
          <cell r="B365" t="str">
            <v>EZYII EXIM</v>
          </cell>
        </row>
        <row r="366">
          <cell r="A366" t="str">
            <v>YASIN_COURIER_B2B</v>
          </cell>
          <cell r="B366" t="str">
            <v>YASIN COURIER</v>
          </cell>
        </row>
        <row r="367">
          <cell r="A367" t="str">
            <v>BathlaAluminum_B2B</v>
          </cell>
          <cell r="B367" t="str">
            <v>BATHLA ALUMINIUM PVT LTD</v>
          </cell>
        </row>
        <row r="368">
          <cell r="A368" t="str">
            <v>Happilo_B2B</v>
          </cell>
          <cell r="B368" t="str">
            <v>HAPPILO INTERNATIONAL PRIVATE LIMITED</v>
          </cell>
        </row>
        <row r="369">
          <cell r="A369" t="str">
            <v>BOGGLETREE_B2B</v>
          </cell>
          <cell r="B369" t="str">
            <v>BOGGLETREE TECHNOLOGIES PRIVATE LIMITED</v>
          </cell>
        </row>
        <row r="370">
          <cell r="A370" t="str">
            <v>SHIPSHOPY_B2B</v>
          </cell>
          <cell r="B370" t="str">
            <v>SHIPSHOPY PRIVATE LIMITED</v>
          </cell>
        </row>
        <row r="371">
          <cell r="A371" t="str">
            <v>SHIPLYSTIC_B2B</v>
          </cell>
          <cell r="B371" t="str">
            <v>SHIPLYSTIC PRIVATE LIMITED</v>
          </cell>
        </row>
        <row r="372">
          <cell r="A372" t="str">
            <v>NARO_B2B</v>
          </cell>
          <cell r="B372" t="str">
            <v>NARO ENTERPRISES</v>
          </cell>
        </row>
        <row r="373">
          <cell r="A373" t="str">
            <v>SUNLIGHT_B2B</v>
          </cell>
          <cell r="B373" t="str">
            <v>SUNLIGHT SPORTS PRIVATE LIMITED</v>
          </cell>
        </row>
        <row r="374">
          <cell r="A374" t="str">
            <v>SAFETAKE_B2B</v>
          </cell>
          <cell r="B374" t="str">
            <v>SAFETAKE LOGISTICS</v>
          </cell>
        </row>
        <row r="375">
          <cell r="A375" t="str">
            <v>LOGYXPRESS_B2B</v>
          </cell>
          <cell r="B375" t="str">
            <v>LOGYXPRESS</v>
          </cell>
        </row>
        <row r="376">
          <cell r="A376" t="str">
            <v>QUIXGO_B2B</v>
          </cell>
          <cell r="B376" t="str">
            <v>QUIXGO INFOTECH PRIVATE LIMITED</v>
          </cell>
        </row>
        <row r="377">
          <cell r="A377" t="str">
            <v>BETTERLIFE_B2B</v>
          </cell>
          <cell r="B377" t="str">
            <v>BETTERLIFE HORIZONS PRIVATE LIMITED</v>
          </cell>
        </row>
        <row r="378">
          <cell r="A378" t="str">
            <v>SHRI_KAMAKHYA_B2B</v>
          </cell>
          <cell r="B378" t="str">
            <v>SHRI KAMAKHYA FASHION WORKS HUF</v>
          </cell>
        </row>
        <row r="379">
          <cell r="A379" t="str">
            <v>SMILEPHILE_B2B</v>
          </cell>
          <cell r="B379" t="str">
            <v>SMILEPHILE HEALTHCARE PRIVATE LIMITED</v>
          </cell>
        </row>
        <row r="380">
          <cell r="A380" t="str">
            <v>CREATIVE_SHADOWS_B2B</v>
          </cell>
          <cell r="B380" t="str">
            <v>CREATIVE SHADOWS PROMOTION PRIVATE LIMITED</v>
          </cell>
        </row>
        <row r="381">
          <cell r="A381" t="str">
            <v>BEAATHO_B2B</v>
          </cell>
          <cell r="B381" t="str">
            <v>BEAATHO PRIVATE LIMITED</v>
          </cell>
        </row>
        <row r="382">
          <cell r="A382" t="str">
            <v>ENCHANTE_BRANDS_B2B</v>
          </cell>
          <cell r="B382" t="str">
            <v>ENCHANTE BRANDS PRIVATE LIMITED</v>
          </cell>
        </row>
        <row r="383">
          <cell r="A383" t="str">
            <v>ASMR_BITES_B2B</v>
          </cell>
          <cell r="B383" t="str">
            <v>ASMR BITES PRIVATE LIMITED</v>
          </cell>
        </row>
        <row r="384">
          <cell r="A384" t="str">
            <v>DOOR_2_DOOR_B2B</v>
          </cell>
          <cell r="B384" t="str">
            <v>DOOR 2 DOOR CARGO SERVICES</v>
          </cell>
        </row>
        <row r="385">
          <cell r="A385" t="str">
            <v>TEKIES_B2B</v>
          </cell>
          <cell r="B385" t="str">
            <v>TEKIES RETAIL PRIVATE LIMITED</v>
          </cell>
        </row>
        <row r="386">
          <cell r="A386" t="str">
            <v>EARTH_CRUST_B2B</v>
          </cell>
          <cell r="B386" t="str">
            <v>EARTH CRUST PRIVATE LIMITED</v>
          </cell>
        </row>
        <row r="387">
          <cell r="A387" t="str">
            <v>ASHANA_B2B</v>
          </cell>
          <cell r="B387" t="str">
            <v>Ashana Enterprises Private Limited</v>
          </cell>
        </row>
        <row r="388">
          <cell r="A388" t="str">
            <v>EXYTE_B2B</v>
          </cell>
          <cell r="B388" t="str">
            <v>EXYTE SOLUTIONS PRIVATE LIMITED</v>
          </cell>
        </row>
        <row r="389">
          <cell r="A389" t="str">
            <v>MIDVISION_B2B</v>
          </cell>
          <cell r="B389" t="str">
            <v>MIDVISION PRIVATE LIMITED</v>
          </cell>
        </row>
        <row r="390">
          <cell r="A390" t="str">
            <v>DIGITALAGE_RTV_B2B</v>
          </cell>
          <cell r="B390" t="str">
            <v>DIGITAL AGE RETAIL PRIVATE LIMITED</v>
          </cell>
        </row>
        <row r="391">
          <cell r="A391">
            <v>9999</v>
          </cell>
          <cell r="B391">
            <v>9999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03B107-A1DA-407D-BCE4-07BFCC407565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B58B-0F71-4066-BD1D-ABA422C2B8B2}">
  <dimension ref="B1:P305"/>
  <sheetViews>
    <sheetView zoomScale="70" workbookViewId="0">
      <selection activeCell="C2" sqref="C2"/>
    </sheetView>
  </sheetViews>
  <sheetFormatPr defaultRowHeight="14.5" x14ac:dyDescent="0.35"/>
  <cols>
    <col min="2" max="2" width="19" bestFit="1" customWidth="1"/>
    <col min="3" max="3" width="40.54296875" bestFit="1" customWidth="1"/>
    <col min="4" max="4" width="51.7265625" bestFit="1" customWidth="1"/>
    <col min="5" max="5" width="31" bestFit="1" customWidth="1"/>
    <col min="6" max="6" width="22.1796875" bestFit="1" customWidth="1"/>
    <col min="7" max="7" width="15.1796875" bestFit="1" customWidth="1"/>
    <col min="8" max="8" width="30.453125" bestFit="1" customWidth="1"/>
    <col min="9" max="9" width="21.6328125" bestFit="1" customWidth="1"/>
    <col min="10" max="10" width="15" bestFit="1" customWidth="1"/>
    <col min="11" max="11" width="17.08984375" bestFit="1" customWidth="1"/>
    <col min="12" max="12" width="19.54296875" style="36" bestFit="1" customWidth="1"/>
    <col min="13" max="13" width="14.36328125" bestFit="1" customWidth="1"/>
    <col min="14" max="14" width="12.54296875" bestFit="1" customWidth="1"/>
    <col min="15" max="15" width="12.26953125" bestFit="1" customWidth="1"/>
    <col min="16" max="16" width="18.90625" bestFit="1" customWidth="1"/>
  </cols>
  <sheetData>
    <row r="1" spans="2:16" ht="15" thickBot="1" x14ac:dyDescent="0.4"/>
    <row r="2" spans="2:16" ht="15.5" x14ac:dyDescent="0.35">
      <c r="B2" s="39" t="s">
        <v>803</v>
      </c>
      <c r="C2" s="40" t="s">
        <v>386</v>
      </c>
      <c r="D2" s="40" t="s">
        <v>0</v>
      </c>
      <c r="E2" s="41" t="s">
        <v>384</v>
      </c>
      <c r="F2" s="42" t="s">
        <v>385</v>
      </c>
      <c r="G2" s="43" t="s">
        <v>978</v>
      </c>
      <c r="H2" s="42" t="s">
        <v>970</v>
      </c>
      <c r="I2" s="44" t="s">
        <v>971</v>
      </c>
      <c r="J2" s="45" t="s">
        <v>979</v>
      </c>
      <c r="K2" s="46" t="s">
        <v>804</v>
      </c>
      <c r="L2" s="46" t="s">
        <v>805</v>
      </c>
      <c r="M2" s="47" t="s">
        <v>806</v>
      </c>
      <c r="N2" s="47" t="s">
        <v>807</v>
      </c>
      <c r="O2" s="47" t="s">
        <v>808</v>
      </c>
      <c r="P2" s="48" t="s">
        <v>809</v>
      </c>
    </row>
    <row r="3" spans="2:16" x14ac:dyDescent="0.35">
      <c r="B3" s="15" t="s">
        <v>828</v>
      </c>
      <c r="C3" s="16" t="s">
        <v>611</v>
      </c>
      <c r="D3" s="16" t="s">
        <v>108</v>
      </c>
      <c r="E3" s="30">
        <v>0</v>
      </c>
      <c r="F3" s="17">
        <v>364</v>
      </c>
      <c r="G3" s="34">
        <v>0</v>
      </c>
      <c r="H3" s="17">
        <v>405578</v>
      </c>
      <c r="I3" s="2">
        <v>2691253</v>
      </c>
      <c r="J3" s="18">
        <v>6.635599070955525</v>
      </c>
      <c r="K3" s="4">
        <v>2690889</v>
      </c>
      <c r="L3" s="37" t="s">
        <v>842</v>
      </c>
      <c r="N3" s="19">
        <v>7392.552197802198</v>
      </c>
      <c r="P3" s="20" t="s">
        <v>1314</v>
      </c>
    </row>
    <row r="4" spans="2:16" x14ac:dyDescent="0.35">
      <c r="B4" s="15" t="s">
        <v>822</v>
      </c>
      <c r="C4" s="16" t="s">
        <v>690</v>
      </c>
      <c r="D4" s="16" t="s">
        <v>131</v>
      </c>
      <c r="E4" s="30">
        <v>5663</v>
      </c>
      <c r="F4" s="17">
        <v>53219</v>
      </c>
      <c r="G4" s="34">
        <v>9.3976690799929372</v>
      </c>
      <c r="H4" s="17">
        <v>28045</v>
      </c>
      <c r="I4" s="2">
        <v>961501</v>
      </c>
      <c r="J4" s="18">
        <v>34.28422178641469</v>
      </c>
      <c r="K4" s="4">
        <v>908282</v>
      </c>
      <c r="L4" s="37" t="s">
        <v>842</v>
      </c>
      <c r="N4" s="19">
        <v>17.066874612450441</v>
      </c>
      <c r="P4" s="20" t="s">
        <v>1282</v>
      </c>
    </row>
    <row r="5" spans="2:16" x14ac:dyDescent="0.35">
      <c r="B5" s="15">
        <v>0</v>
      </c>
      <c r="C5" s="16" t="s">
        <v>871</v>
      </c>
      <c r="D5" s="16" t="s">
        <v>872</v>
      </c>
      <c r="E5" s="32">
        <v>0</v>
      </c>
      <c r="F5" s="1">
        <v>0</v>
      </c>
      <c r="G5" s="34">
        <v>0</v>
      </c>
      <c r="H5" s="17">
        <v>79542</v>
      </c>
      <c r="I5" s="2">
        <v>864401</v>
      </c>
      <c r="J5" s="18">
        <v>10.867227376731789</v>
      </c>
      <c r="K5" s="4">
        <v>864401</v>
      </c>
      <c r="L5" s="37" t="s">
        <v>842</v>
      </c>
      <c r="N5" s="19" t="e">
        <v>#DIV/0!</v>
      </c>
      <c r="P5" s="20" t="s">
        <v>1283</v>
      </c>
    </row>
    <row r="6" spans="2:16" x14ac:dyDescent="0.35">
      <c r="B6" s="15" t="s">
        <v>813</v>
      </c>
      <c r="C6" s="16" t="s">
        <v>394</v>
      </c>
      <c r="D6" s="16" t="s">
        <v>10</v>
      </c>
      <c r="E6" s="30">
        <v>160436</v>
      </c>
      <c r="F6" s="17">
        <v>1497477</v>
      </c>
      <c r="G6" s="34">
        <v>9.3337966541175295</v>
      </c>
      <c r="H6" s="17">
        <v>132434</v>
      </c>
      <c r="I6" s="2">
        <v>2361616</v>
      </c>
      <c r="J6" s="18">
        <v>17.832399534862649</v>
      </c>
      <c r="K6" s="4">
        <v>864139</v>
      </c>
      <c r="L6" s="37" t="s">
        <v>842</v>
      </c>
      <c r="N6" s="19">
        <v>0.57706328711559507</v>
      </c>
      <c r="P6" s="20" t="s">
        <v>1280</v>
      </c>
    </row>
    <row r="7" spans="2:16" x14ac:dyDescent="0.35">
      <c r="B7" s="15" t="s">
        <v>818</v>
      </c>
      <c r="C7" s="16" t="s">
        <v>646</v>
      </c>
      <c r="D7" s="16" t="s">
        <v>23</v>
      </c>
      <c r="E7" s="30">
        <v>48367</v>
      </c>
      <c r="F7" s="17">
        <v>554088</v>
      </c>
      <c r="G7" s="34">
        <v>11.455910021295512</v>
      </c>
      <c r="H7" s="17">
        <v>102702</v>
      </c>
      <c r="I7" s="2">
        <v>1279882</v>
      </c>
      <c r="J7" s="18">
        <v>12.462094214328834</v>
      </c>
      <c r="K7" s="4">
        <v>725794</v>
      </c>
      <c r="L7" s="37" t="s">
        <v>842</v>
      </c>
      <c r="N7" s="19">
        <v>1.3098894038492082</v>
      </c>
      <c r="P7" s="20" t="s">
        <v>1285</v>
      </c>
    </row>
    <row r="8" spans="2:16" x14ac:dyDescent="0.35">
      <c r="B8" s="15" t="s">
        <v>811</v>
      </c>
      <c r="C8" s="16" t="s">
        <v>390</v>
      </c>
      <c r="D8" s="16" t="s">
        <v>6</v>
      </c>
      <c r="E8" s="30">
        <v>123482</v>
      </c>
      <c r="F8" s="17">
        <v>961020</v>
      </c>
      <c r="G8" s="34">
        <v>7.7826727782186875</v>
      </c>
      <c r="H8" s="17">
        <v>231417</v>
      </c>
      <c r="I8" s="2">
        <v>1677383</v>
      </c>
      <c r="J8" s="18">
        <v>7.248313650250414</v>
      </c>
      <c r="K8" s="4">
        <v>716363</v>
      </c>
      <c r="L8" s="37" t="s">
        <v>842</v>
      </c>
      <c r="N8" s="19">
        <v>0.74541945016753031</v>
      </c>
      <c r="P8" s="20" t="s">
        <v>1321</v>
      </c>
    </row>
    <row r="9" spans="2:16" x14ac:dyDescent="0.35">
      <c r="B9" s="15">
        <v>0</v>
      </c>
      <c r="C9" s="16" t="s">
        <v>391</v>
      </c>
      <c r="D9" s="16" t="s">
        <v>22</v>
      </c>
      <c r="E9" s="30">
        <v>46256</v>
      </c>
      <c r="F9" s="17">
        <v>594199</v>
      </c>
      <c r="G9" s="34">
        <v>12.845879453476305</v>
      </c>
      <c r="H9" s="17">
        <v>114592</v>
      </c>
      <c r="I9" s="2">
        <v>1299454</v>
      </c>
      <c r="J9" s="18">
        <v>11.339831750907567</v>
      </c>
      <c r="K9" s="4">
        <v>705255</v>
      </c>
      <c r="L9" s="37" t="s">
        <v>842</v>
      </c>
      <c r="N9" s="19">
        <v>1.1869003481998455</v>
      </c>
      <c r="P9" s="20" t="s">
        <v>1280</v>
      </c>
    </row>
    <row r="10" spans="2:16" x14ac:dyDescent="0.35">
      <c r="B10" s="15">
        <v>0</v>
      </c>
      <c r="C10" s="16" t="s">
        <v>420</v>
      </c>
      <c r="D10" s="16" t="s">
        <v>11</v>
      </c>
      <c r="E10" s="30">
        <v>70627</v>
      </c>
      <c r="F10" s="17">
        <v>959537</v>
      </c>
      <c r="G10" s="34">
        <v>13.58597986605689</v>
      </c>
      <c r="H10" s="17">
        <v>121242</v>
      </c>
      <c r="I10" s="2">
        <v>1552474</v>
      </c>
      <c r="J10" s="18">
        <v>12.804754128107421</v>
      </c>
      <c r="K10" s="4">
        <v>592937</v>
      </c>
      <c r="L10" s="37" t="s">
        <v>842</v>
      </c>
      <c r="N10" s="19">
        <v>0.61794073600080035</v>
      </c>
      <c r="P10" s="20" t="s">
        <v>1286</v>
      </c>
    </row>
    <row r="11" spans="2:16" x14ac:dyDescent="0.35">
      <c r="B11" s="15" t="s">
        <v>822</v>
      </c>
      <c r="C11" s="16" t="s">
        <v>665</v>
      </c>
      <c r="D11" s="16" t="s">
        <v>76</v>
      </c>
      <c r="E11" s="30">
        <v>50971</v>
      </c>
      <c r="F11" s="17">
        <v>403873</v>
      </c>
      <c r="G11" s="34">
        <v>7.9235839987443839</v>
      </c>
      <c r="H11" s="17">
        <v>128449</v>
      </c>
      <c r="I11" s="2">
        <v>995455</v>
      </c>
      <c r="J11" s="18">
        <v>7.749807316522511</v>
      </c>
      <c r="K11" s="4">
        <v>591582</v>
      </c>
      <c r="L11" s="37" t="s">
        <v>842</v>
      </c>
      <c r="N11" s="19">
        <v>1.4647723418005165</v>
      </c>
      <c r="P11" s="20" t="s">
        <v>1287</v>
      </c>
    </row>
    <row r="12" spans="2:16" x14ac:dyDescent="0.35">
      <c r="B12" s="15" t="s">
        <v>841</v>
      </c>
      <c r="C12" s="16" t="s">
        <v>940</v>
      </c>
      <c r="D12" s="16" t="s">
        <v>941</v>
      </c>
      <c r="E12" s="32">
        <v>0</v>
      </c>
      <c r="F12" s="1">
        <v>0</v>
      </c>
      <c r="G12" s="34">
        <v>0</v>
      </c>
      <c r="H12" s="17">
        <v>73865</v>
      </c>
      <c r="I12" s="2">
        <v>565439</v>
      </c>
      <c r="J12" s="18">
        <v>7.6550328301631358</v>
      </c>
      <c r="K12" s="4">
        <v>565439</v>
      </c>
      <c r="L12" s="37" t="s">
        <v>842</v>
      </c>
      <c r="N12" s="19" t="e">
        <v>#DIV/0!</v>
      </c>
      <c r="P12" s="20" t="s">
        <v>1288</v>
      </c>
    </row>
    <row r="13" spans="2:16" x14ac:dyDescent="0.35">
      <c r="B13" s="15" t="s">
        <v>822</v>
      </c>
      <c r="C13" s="16" t="s">
        <v>696</v>
      </c>
      <c r="D13" s="16" t="s">
        <v>140</v>
      </c>
      <c r="E13" s="30">
        <v>9892</v>
      </c>
      <c r="F13" s="17">
        <v>101958</v>
      </c>
      <c r="G13" s="34">
        <v>10.307116862110796</v>
      </c>
      <c r="H13" s="17">
        <v>65989</v>
      </c>
      <c r="I13" s="2">
        <v>638681</v>
      </c>
      <c r="J13" s="18">
        <v>9.6785979481428726</v>
      </c>
      <c r="K13" s="4">
        <v>536723</v>
      </c>
      <c r="L13" s="37" t="s">
        <v>842</v>
      </c>
      <c r="N13" s="19">
        <v>5.2641577904627397</v>
      </c>
      <c r="P13" s="20" t="s">
        <v>1289</v>
      </c>
    </row>
    <row r="14" spans="2:16" x14ac:dyDescent="0.35">
      <c r="B14" s="15" t="s">
        <v>828</v>
      </c>
      <c r="C14" s="16" t="s">
        <v>608</v>
      </c>
      <c r="D14" s="16" t="s">
        <v>78</v>
      </c>
      <c r="E14" s="30">
        <v>1314</v>
      </c>
      <c r="F14" s="17">
        <v>26752</v>
      </c>
      <c r="G14" s="34">
        <v>20.359208523592084</v>
      </c>
      <c r="H14" s="17">
        <v>37401</v>
      </c>
      <c r="I14" s="2">
        <v>496260</v>
      </c>
      <c r="J14" s="18">
        <v>13.268629181037941</v>
      </c>
      <c r="K14" s="4">
        <v>469508</v>
      </c>
      <c r="L14" s="37" t="s">
        <v>842</v>
      </c>
      <c r="N14" s="19">
        <v>17.550388755980862</v>
      </c>
      <c r="P14" s="20" t="s">
        <v>1060</v>
      </c>
    </row>
    <row r="15" spans="2:16" x14ac:dyDescent="0.35">
      <c r="B15" s="15">
        <v>0</v>
      </c>
      <c r="C15" s="16" t="s">
        <v>764</v>
      </c>
      <c r="D15" s="16" t="s">
        <v>365</v>
      </c>
      <c r="E15" s="30">
        <v>1915</v>
      </c>
      <c r="F15" s="17">
        <v>19059</v>
      </c>
      <c r="G15" s="34">
        <v>9.95248041775457</v>
      </c>
      <c r="H15" s="17">
        <v>39571</v>
      </c>
      <c r="I15" s="2">
        <v>484698</v>
      </c>
      <c r="J15" s="18">
        <v>12.248818579262592</v>
      </c>
      <c r="K15" s="4">
        <v>465639</v>
      </c>
      <c r="L15" s="37" t="s">
        <v>842</v>
      </c>
      <c r="N15" s="19">
        <v>24.431449708798993</v>
      </c>
      <c r="P15" s="20" t="s">
        <v>1282</v>
      </c>
    </row>
    <row r="16" spans="2:16" x14ac:dyDescent="0.35">
      <c r="B16" s="15">
        <v>0</v>
      </c>
      <c r="C16" s="16" t="s">
        <v>489</v>
      </c>
      <c r="D16" s="16" t="s">
        <v>98</v>
      </c>
      <c r="E16" s="30">
        <v>23224</v>
      </c>
      <c r="F16" s="17">
        <v>333149</v>
      </c>
      <c r="G16" s="34">
        <v>14.345031002411298</v>
      </c>
      <c r="H16" s="17">
        <v>56908</v>
      </c>
      <c r="I16" s="2">
        <v>782216</v>
      </c>
      <c r="J16" s="18">
        <v>13.745273072327265</v>
      </c>
      <c r="K16" s="4">
        <v>449067</v>
      </c>
      <c r="L16" s="37" t="s">
        <v>842</v>
      </c>
      <c r="N16" s="19">
        <v>1.3479464143671451</v>
      </c>
      <c r="P16" s="20" t="s">
        <v>1286</v>
      </c>
    </row>
    <row r="17" spans="2:16" x14ac:dyDescent="0.35">
      <c r="B17" s="15" t="s">
        <v>817</v>
      </c>
      <c r="C17" s="16" t="s">
        <v>451</v>
      </c>
      <c r="D17" s="16" t="s">
        <v>85</v>
      </c>
      <c r="E17" s="30">
        <v>26052</v>
      </c>
      <c r="F17" s="17">
        <v>203353</v>
      </c>
      <c r="G17" s="34">
        <v>7.8056579149393519</v>
      </c>
      <c r="H17" s="17">
        <v>77454</v>
      </c>
      <c r="I17" s="2">
        <v>643726</v>
      </c>
      <c r="J17" s="18">
        <v>8.311074960621788</v>
      </c>
      <c r="K17" s="4">
        <v>440373</v>
      </c>
      <c r="L17" s="37" t="s">
        <v>842</v>
      </c>
      <c r="N17" s="19">
        <v>2.1655593967140883</v>
      </c>
      <c r="P17" s="20" t="s">
        <v>1287</v>
      </c>
    </row>
    <row r="18" spans="2:16" x14ac:dyDescent="0.35">
      <c r="B18" s="15" t="s">
        <v>840</v>
      </c>
      <c r="C18" s="16" t="s">
        <v>936</v>
      </c>
      <c r="D18" s="16" t="s">
        <v>937</v>
      </c>
      <c r="E18" s="32">
        <v>0</v>
      </c>
      <c r="F18" s="1">
        <v>0</v>
      </c>
      <c r="G18" s="34">
        <v>0</v>
      </c>
      <c r="H18" s="17">
        <v>43756</v>
      </c>
      <c r="I18" s="2">
        <v>424667</v>
      </c>
      <c r="J18" s="18">
        <v>9.7053432672090683</v>
      </c>
      <c r="K18" s="4">
        <v>424667</v>
      </c>
      <c r="L18" s="37" t="s">
        <v>842</v>
      </c>
      <c r="N18" s="19" t="e">
        <v>#DIV/0!</v>
      </c>
      <c r="P18" s="20" t="s">
        <v>1289</v>
      </c>
    </row>
    <row r="19" spans="2:16" x14ac:dyDescent="0.35">
      <c r="B19" s="15" t="s">
        <v>822</v>
      </c>
      <c r="C19" s="16" t="s">
        <v>695</v>
      </c>
      <c r="D19" s="16" t="s">
        <v>138</v>
      </c>
      <c r="E19" s="30">
        <v>3000</v>
      </c>
      <c r="F19" s="17">
        <v>44332</v>
      </c>
      <c r="G19" s="34">
        <v>14.777333333333333</v>
      </c>
      <c r="H19" s="17">
        <v>30944</v>
      </c>
      <c r="I19" s="2">
        <v>422423</v>
      </c>
      <c r="J19" s="18">
        <v>13.651208634953464</v>
      </c>
      <c r="K19" s="4">
        <v>378091</v>
      </c>
      <c r="L19" s="37" t="s">
        <v>842</v>
      </c>
      <c r="N19" s="19">
        <v>8.5286249210502572</v>
      </c>
      <c r="P19" s="20" t="s">
        <v>1288</v>
      </c>
    </row>
    <row r="20" spans="2:16" x14ac:dyDescent="0.35">
      <c r="B20" s="15" t="s">
        <v>841</v>
      </c>
      <c r="C20" s="16" t="s">
        <v>754</v>
      </c>
      <c r="D20" s="16" t="s">
        <v>355</v>
      </c>
      <c r="E20" s="30">
        <v>1978</v>
      </c>
      <c r="F20" s="17">
        <v>24271</v>
      </c>
      <c r="G20" s="34">
        <v>12.270475227502528</v>
      </c>
      <c r="H20" s="17">
        <v>27867</v>
      </c>
      <c r="I20" s="2">
        <v>385470</v>
      </c>
      <c r="J20" s="18">
        <v>13.832490041985144</v>
      </c>
      <c r="K20" s="4">
        <v>361199</v>
      </c>
      <c r="L20" s="37" t="s">
        <v>842</v>
      </c>
      <c r="N20" s="19">
        <v>14.881916690700836</v>
      </c>
      <c r="P20" s="20" t="s">
        <v>1289</v>
      </c>
    </row>
    <row r="21" spans="2:16" x14ac:dyDescent="0.35">
      <c r="B21" s="15" t="s">
        <v>821</v>
      </c>
      <c r="C21" s="16" t="s">
        <v>636</v>
      </c>
      <c r="D21" s="16" t="s">
        <v>31</v>
      </c>
      <c r="E21" s="30">
        <v>3448</v>
      </c>
      <c r="F21" s="17">
        <v>41317</v>
      </c>
      <c r="G21" s="34">
        <v>11.982888631090487</v>
      </c>
      <c r="H21" s="17">
        <v>36967</v>
      </c>
      <c r="I21" s="2">
        <v>369688</v>
      </c>
      <c r="J21" s="18">
        <v>10.000486920767171</v>
      </c>
      <c r="K21" s="4">
        <v>328371</v>
      </c>
      <c r="L21" s="37" t="s">
        <v>842</v>
      </c>
      <c r="N21" s="19">
        <v>7.9476002613936156</v>
      </c>
      <c r="P21" s="20" t="s">
        <v>1292</v>
      </c>
    </row>
    <row r="22" spans="2:16" x14ac:dyDescent="0.35">
      <c r="B22" s="15" t="s">
        <v>837</v>
      </c>
      <c r="C22" s="16" t="s">
        <v>763</v>
      </c>
      <c r="D22" s="16" t="s">
        <v>364</v>
      </c>
      <c r="E22" s="30">
        <v>10697</v>
      </c>
      <c r="F22" s="17">
        <v>110130</v>
      </c>
      <c r="G22" s="34">
        <v>10.2954099280172</v>
      </c>
      <c r="H22" s="17">
        <v>33676</v>
      </c>
      <c r="I22" s="2">
        <v>399467</v>
      </c>
      <c r="J22" s="18">
        <v>11.862067941560756</v>
      </c>
      <c r="K22" s="4">
        <v>289337</v>
      </c>
      <c r="L22" s="37" t="s">
        <v>842</v>
      </c>
      <c r="N22" s="19">
        <v>2.6272314537364934</v>
      </c>
      <c r="P22" s="20" t="s">
        <v>1283</v>
      </c>
    </row>
    <row r="23" spans="2:16" x14ac:dyDescent="0.35">
      <c r="B23" s="15">
        <v>0</v>
      </c>
      <c r="C23" s="16" t="s">
        <v>614</v>
      </c>
      <c r="D23" s="16" t="s">
        <v>29</v>
      </c>
      <c r="E23" s="30">
        <v>41251</v>
      </c>
      <c r="F23" s="17">
        <v>606672</v>
      </c>
      <c r="G23" s="34">
        <v>14.706843470461322</v>
      </c>
      <c r="H23" s="17">
        <v>56401</v>
      </c>
      <c r="I23" s="2">
        <v>894337</v>
      </c>
      <c r="J23" s="18">
        <v>15.856757858903212</v>
      </c>
      <c r="K23" s="4">
        <v>287665</v>
      </c>
      <c r="L23" s="37"/>
      <c r="N23" s="19">
        <v>0.47416890840520082</v>
      </c>
      <c r="P23" s="20" t="s">
        <v>1060</v>
      </c>
    </row>
    <row r="24" spans="2:16" x14ac:dyDescent="0.35">
      <c r="B24" s="15" t="s">
        <v>823</v>
      </c>
      <c r="C24" s="16" t="s">
        <v>556</v>
      </c>
      <c r="D24" s="16" t="s">
        <v>41</v>
      </c>
      <c r="E24" s="30">
        <v>67477</v>
      </c>
      <c r="F24" s="17">
        <v>648628</v>
      </c>
      <c r="G24" s="34">
        <v>9.6125791010270163</v>
      </c>
      <c r="H24" s="17">
        <v>98957</v>
      </c>
      <c r="I24" s="2">
        <v>933987</v>
      </c>
      <c r="J24" s="18">
        <v>9.4383115898824741</v>
      </c>
      <c r="K24" s="4">
        <v>285359</v>
      </c>
      <c r="L24" s="37"/>
      <c r="N24" s="19">
        <v>0.43994246316841085</v>
      </c>
      <c r="P24" s="20" t="s">
        <v>1287</v>
      </c>
    </row>
    <row r="25" spans="2:16" x14ac:dyDescent="0.35">
      <c r="B25" s="15">
        <v>0</v>
      </c>
      <c r="C25" s="16" t="s">
        <v>404</v>
      </c>
      <c r="D25" s="16" t="s">
        <v>44</v>
      </c>
      <c r="E25" s="30">
        <v>7857</v>
      </c>
      <c r="F25" s="17">
        <v>164181</v>
      </c>
      <c r="G25" s="34">
        <v>20.896143566246661</v>
      </c>
      <c r="H25" s="17">
        <v>33454</v>
      </c>
      <c r="I25" s="2">
        <v>446695</v>
      </c>
      <c r="J25" s="18">
        <v>13.352513899683148</v>
      </c>
      <c r="K25" s="4">
        <v>282514</v>
      </c>
      <c r="L25" s="37"/>
      <c r="N25" s="19">
        <v>1.7207472241002308</v>
      </c>
      <c r="P25" s="20" t="s">
        <v>1280</v>
      </c>
    </row>
    <row r="26" spans="2:16" x14ac:dyDescent="0.35">
      <c r="B26" s="15" t="s">
        <v>821</v>
      </c>
      <c r="C26" s="16" t="s">
        <v>640</v>
      </c>
      <c r="D26" s="16" t="s">
        <v>50</v>
      </c>
      <c r="E26" s="30">
        <v>21083</v>
      </c>
      <c r="F26" s="17">
        <v>332874</v>
      </c>
      <c r="G26" s="34">
        <v>15.788739742920837</v>
      </c>
      <c r="H26" s="17">
        <v>41051</v>
      </c>
      <c r="I26" s="2">
        <v>606716</v>
      </c>
      <c r="J26" s="18">
        <v>14.779566880222163</v>
      </c>
      <c r="K26" s="4">
        <v>273842</v>
      </c>
      <c r="L26" s="37"/>
      <c r="N26" s="19">
        <v>0.82265962496319933</v>
      </c>
      <c r="P26" s="20" t="s">
        <v>1293</v>
      </c>
    </row>
    <row r="27" spans="2:16" x14ac:dyDescent="0.35">
      <c r="B27" s="15" t="s">
        <v>825</v>
      </c>
      <c r="C27" s="16" t="s">
        <v>600</v>
      </c>
      <c r="D27" s="16" t="s">
        <v>182</v>
      </c>
      <c r="E27" s="30">
        <v>9664</v>
      </c>
      <c r="F27" s="17">
        <v>119081</v>
      </c>
      <c r="G27" s="34">
        <v>12.32212334437086</v>
      </c>
      <c r="H27" s="17">
        <v>32100</v>
      </c>
      <c r="I27" s="2">
        <v>389391</v>
      </c>
      <c r="J27" s="18">
        <v>12.130560747663552</v>
      </c>
      <c r="K27" s="4">
        <v>270310</v>
      </c>
      <c r="L27" s="37"/>
      <c r="N27" s="19">
        <v>2.2699675011126881</v>
      </c>
      <c r="P27" s="20" t="s">
        <v>1293</v>
      </c>
    </row>
    <row r="28" spans="2:16" x14ac:dyDescent="0.35">
      <c r="B28" s="15" t="s">
        <v>837</v>
      </c>
      <c r="C28" s="16" t="s">
        <v>766</v>
      </c>
      <c r="D28" s="16" t="s">
        <v>367</v>
      </c>
      <c r="E28" s="30">
        <v>25569</v>
      </c>
      <c r="F28" s="17">
        <v>214364</v>
      </c>
      <c r="G28" s="34">
        <v>8.3837459423520677</v>
      </c>
      <c r="H28" s="17">
        <v>44482</v>
      </c>
      <c r="I28" s="2">
        <v>482669</v>
      </c>
      <c r="J28" s="18">
        <v>10.850883503439594</v>
      </c>
      <c r="K28" s="4">
        <v>268305</v>
      </c>
      <c r="L28" s="37"/>
      <c r="N28" s="19">
        <v>1.251632736840141</v>
      </c>
      <c r="P28" s="20" t="s">
        <v>1282</v>
      </c>
    </row>
    <row r="29" spans="2:16" x14ac:dyDescent="0.35">
      <c r="B29" s="15" t="s">
        <v>821</v>
      </c>
      <c r="C29" s="16" t="s">
        <v>633</v>
      </c>
      <c r="D29" s="16" t="s">
        <v>84</v>
      </c>
      <c r="E29" s="30">
        <v>1664</v>
      </c>
      <c r="F29" s="17">
        <v>43923</v>
      </c>
      <c r="G29" s="34">
        <v>26.396033653846153</v>
      </c>
      <c r="H29" s="17">
        <v>16085</v>
      </c>
      <c r="I29" s="2">
        <v>297400</v>
      </c>
      <c r="J29" s="18">
        <v>18.489275722723033</v>
      </c>
      <c r="K29" s="4">
        <v>253477</v>
      </c>
      <c r="L29" s="37"/>
      <c r="N29" s="19">
        <v>5.7709400541857345</v>
      </c>
      <c r="P29" s="20" t="s">
        <v>1289</v>
      </c>
    </row>
    <row r="30" spans="2:16" x14ac:dyDescent="0.35">
      <c r="B30" s="15" t="s">
        <v>814</v>
      </c>
      <c r="C30" s="16" t="s">
        <v>521</v>
      </c>
      <c r="D30" s="16" t="s">
        <v>14</v>
      </c>
      <c r="E30" s="30">
        <v>105487</v>
      </c>
      <c r="F30" s="17">
        <v>1092547</v>
      </c>
      <c r="G30" s="34">
        <v>10.357171973797719</v>
      </c>
      <c r="H30" s="17">
        <v>122915</v>
      </c>
      <c r="I30" s="2">
        <v>1324192</v>
      </c>
      <c r="J30" s="18">
        <v>10.773233535369972</v>
      </c>
      <c r="K30" s="4">
        <v>231645</v>
      </c>
      <c r="L30" s="37"/>
      <c r="N30" s="19">
        <v>0.21202291526131142</v>
      </c>
      <c r="P30" s="20" t="s">
        <v>1280</v>
      </c>
    </row>
    <row r="31" spans="2:16" x14ac:dyDescent="0.35">
      <c r="B31" s="15" t="s">
        <v>837</v>
      </c>
      <c r="C31" s="16" t="s">
        <v>739</v>
      </c>
      <c r="D31" s="16" t="s">
        <v>339</v>
      </c>
      <c r="E31" s="30">
        <v>14362</v>
      </c>
      <c r="F31" s="17">
        <v>146438</v>
      </c>
      <c r="G31" s="34">
        <v>10.196212226709372</v>
      </c>
      <c r="H31" s="17">
        <v>32862</v>
      </c>
      <c r="I31" s="2">
        <v>376499</v>
      </c>
      <c r="J31" s="18">
        <v>11.45697157811454</v>
      </c>
      <c r="K31" s="4">
        <v>230061</v>
      </c>
      <c r="L31" s="37"/>
      <c r="N31" s="19">
        <v>1.571047132574878</v>
      </c>
      <c r="P31" s="20" t="s">
        <v>1294</v>
      </c>
    </row>
    <row r="32" spans="2:16" x14ac:dyDescent="0.35">
      <c r="B32" s="15" t="s">
        <v>813</v>
      </c>
      <c r="C32" s="16" t="s">
        <v>470</v>
      </c>
      <c r="D32" s="16" t="s">
        <v>48</v>
      </c>
      <c r="E32" s="30">
        <v>24351</v>
      </c>
      <c r="F32" s="17">
        <v>320136</v>
      </c>
      <c r="G32" s="34">
        <v>13.146729087101146</v>
      </c>
      <c r="H32" s="17">
        <v>38069</v>
      </c>
      <c r="I32" s="2">
        <v>547747</v>
      </c>
      <c r="J32" s="18">
        <v>14.388268670046495</v>
      </c>
      <c r="K32" s="4">
        <v>227611</v>
      </c>
      <c r="L32" s="37"/>
      <c r="N32" s="19">
        <v>0.71098220756178621</v>
      </c>
      <c r="P32" s="20" t="s">
        <v>1060</v>
      </c>
    </row>
    <row r="33" spans="2:16" x14ac:dyDescent="0.35">
      <c r="B33" s="15" t="s">
        <v>976</v>
      </c>
      <c r="C33" s="16" t="s">
        <v>889</v>
      </c>
      <c r="D33" s="16" t="s">
        <v>890</v>
      </c>
      <c r="E33" s="32">
        <v>0</v>
      </c>
      <c r="F33" s="1">
        <v>0</v>
      </c>
      <c r="G33" s="34">
        <v>0</v>
      </c>
      <c r="H33" s="17">
        <v>27053</v>
      </c>
      <c r="I33" s="2">
        <v>224599</v>
      </c>
      <c r="J33" s="18">
        <v>8.3021846005988245</v>
      </c>
      <c r="K33" s="4">
        <v>224599</v>
      </c>
      <c r="L33" s="37" t="s">
        <v>844</v>
      </c>
      <c r="N33" s="19" t="e">
        <v>#DIV/0!</v>
      </c>
      <c r="P33" s="20" t="s">
        <v>1283</v>
      </c>
    </row>
    <row r="34" spans="2:16" x14ac:dyDescent="0.35">
      <c r="B34" s="15" t="s">
        <v>816</v>
      </c>
      <c r="C34" s="16" t="s">
        <v>585</v>
      </c>
      <c r="D34" s="16" t="s">
        <v>126</v>
      </c>
      <c r="E34" s="30">
        <v>35</v>
      </c>
      <c r="F34" s="17">
        <v>1223</v>
      </c>
      <c r="G34" s="34">
        <v>34.942857142857143</v>
      </c>
      <c r="H34" s="17">
        <v>2784</v>
      </c>
      <c r="I34" s="2">
        <v>218988</v>
      </c>
      <c r="J34" s="18">
        <v>78.659482758620683</v>
      </c>
      <c r="K34" s="4">
        <v>217765</v>
      </c>
      <c r="L34" s="37"/>
      <c r="N34" s="19">
        <v>178.05805396565822</v>
      </c>
      <c r="P34" s="20" t="s">
        <v>1322</v>
      </c>
    </row>
    <row r="35" spans="2:16" x14ac:dyDescent="0.35">
      <c r="B35" s="15" t="s">
        <v>817</v>
      </c>
      <c r="C35" s="16" t="s">
        <v>425</v>
      </c>
      <c r="D35" s="16" t="s">
        <v>39</v>
      </c>
      <c r="E35" s="30">
        <v>66009</v>
      </c>
      <c r="F35" s="17">
        <v>804585</v>
      </c>
      <c r="G35" s="34">
        <v>12.189019679134663</v>
      </c>
      <c r="H35" s="17">
        <v>94180</v>
      </c>
      <c r="I35" s="2">
        <v>1021432</v>
      </c>
      <c r="J35" s="18">
        <v>10.84552983648333</v>
      </c>
      <c r="K35" s="4">
        <v>216847</v>
      </c>
      <c r="L35" s="37"/>
      <c r="N35" s="19">
        <v>0.26951409732967929</v>
      </c>
      <c r="P35" s="20" t="s">
        <v>1287</v>
      </c>
    </row>
    <row r="36" spans="2:16" x14ac:dyDescent="0.35">
      <c r="B36" s="15" t="s">
        <v>816</v>
      </c>
      <c r="C36" s="16" t="s">
        <v>580</v>
      </c>
      <c r="D36" s="16" t="s">
        <v>19</v>
      </c>
      <c r="E36" s="30">
        <v>46027</v>
      </c>
      <c r="F36" s="17">
        <v>416853</v>
      </c>
      <c r="G36" s="34">
        <v>9.0567058465683186</v>
      </c>
      <c r="H36" s="17">
        <v>59006</v>
      </c>
      <c r="I36" s="2">
        <v>633543</v>
      </c>
      <c r="J36" s="18">
        <v>10.73692505846863</v>
      </c>
      <c r="K36" s="4">
        <v>216690</v>
      </c>
      <c r="L36" s="37"/>
      <c r="N36" s="19">
        <v>0.51982353491518596</v>
      </c>
      <c r="P36" s="20" t="s">
        <v>1314</v>
      </c>
    </row>
    <row r="37" spans="2:16" x14ac:dyDescent="0.35">
      <c r="B37" s="15">
        <v>0</v>
      </c>
      <c r="C37" s="16" t="s">
        <v>550</v>
      </c>
      <c r="D37" s="16" t="s">
        <v>214</v>
      </c>
      <c r="E37" s="30">
        <v>683</v>
      </c>
      <c r="F37" s="17">
        <v>8214</v>
      </c>
      <c r="G37" s="34">
        <v>12.026354319180088</v>
      </c>
      <c r="H37" s="17">
        <v>18694</v>
      </c>
      <c r="I37" s="2">
        <v>219914</v>
      </c>
      <c r="J37" s="18">
        <v>11.763881459291751</v>
      </c>
      <c r="K37" s="4">
        <v>211700</v>
      </c>
      <c r="L37" s="37"/>
      <c r="N37" s="19">
        <v>25.773070367664964</v>
      </c>
      <c r="P37" s="20" t="s">
        <v>1295</v>
      </c>
    </row>
    <row r="38" spans="2:16" x14ac:dyDescent="0.35">
      <c r="B38" s="15" t="s">
        <v>840</v>
      </c>
      <c r="C38" s="16" t="s">
        <v>962</v>
      </c>
      <c r="D38" s="16" t="s">
        <v>963</v>
      </c>
      <c r="E38" s="32">
        <v>0</v>
      </c>
      <c r="F38" s="1">
        <v>0</v>
      </c>
      <c r="G38" s="34">
        <v>0</v>
      </c>
      <c r="H38" s="17">
        <v>22362</v>
      </c>
      <c r="I38" s="2">
        <v>211457</v>
      </c>
      <c r="J38" s="18">
        <v>9.456086217690725</v>
      </c>
      <c r="K38" s="4">
        <v>211457</v>
      </c>
      <c r="L38" s="37" t="s">
        <v>844</v>
      </c>
      <c r="N38" s="19" t="e">
        <v>#DIV/0!</v>
      </c>
      <c r="P38" s="20" t="s">
        <v>1289</v>
      </c>
    </row>
    <row r="39" spans="2:16" x14ac:dyDescent="0.35">
      <c r="B39" s="15">
        <v>0</v>
      </c>
      <c r="C39" s="16" t="s">
        <v>550</v>
      </c>
      <c r="D39" s="16" t="s">
        <v>222</v>
      </c>
      <c r="E39" s="30">
        <v>0</v>
      </c>
      <c r="F39" s="17">
        <v>0</v>
      </c>
      <c r="G39" s="34">
        <v>0</v>
      </c>
      <c r="H39" s="17">
        <v>17760</v>
      </c>
      <c r="I39" s="2">
        <v>209234</v>
      </c>
      <c r="J39" s="18">
        <v>11.781193693693695</v>
      </c>
      <c r="K39" s="4">
        <v>209234</v>
      </c>
      <c r="L39" s="37" t="s">
        <v>830</v>
      </c>
      <c r="N39" s="19" t="e">
        <v>#DIV/0!</v>
      </c>
      <c r="P39" s="20" t="s">
        <v>1295</v>
      </c>
    </row>
    <row r="40" spans="2:16" x14ac:dyDescent="0.35">
      <c r="B40" s="15" t="s">
        <v>841</v>
      </c>
      <c r="C40" s="16" t="s">
        <v>758</v>
      </c>
      <c r="D40" s="16" t="s">
        <v>359</v>
      </c>
      <c r="E40" s="30">
        <v>6932</v>
      </c>
      <c r="F40" s="17">
        <v>78626</v>
      </c>
      <c r="G40" s="34">
        <v>11.342469705712636</v>
      </c>
      <c r="H40" s="17">
        <v>21264</v>
      </c>
      <c r="I40" s="2">
        <v>279608</v>
      </c>
      <c r="J40" s="18">
        <v>13.149360421369451</v>
      </c>
      <c r="K40" s="4">
        <v>200982</v>
      </c>
      <c r="L40" s="37"/>
      <c r="N40" s="19">
        <v>2.556177345916109</v>
      </c>
      <c r="P40" s="20" t="s">
        <v>1294</v>
      </c>
    </row>
    <row r="41" spans="2:16" x14ac:dyDescent="0.35">
      <c r="B41" s="15" t="s">
        <v>838</v>
      </c>
      <c r="C41" s="16" t="s">
        <v>918</v>
      </c>
      <c r="D41" s="16" t="s">
        <v>919</v>
      </c>
      <c r="E41" s="32">
        <v>0</v>
      </c>
      <c r="F41" s="1">
        <v>0</v>
      </c>
      <c r="G41" s="34">
        <v>0</v>
      </c>
      <c r="H41" s="17">
        <v>41458</v>
      </c>
      <c r="I41" s="2">
        <v>195956</v>
      </c>
      <c r="J41" s="18">
        <v>4.7266148873558782</v>
      </c>
      <c r="K41" s="4">
        <v>195956</v>
      </c>
      <c r="L41" s="37" t="s">
        <v>844</v>
      </c>
      <c r="N41" s="19" t="e">
        <v>#DIV/0!</v>
      </c>
      <c r="P41" s="20" t="s">
        <v>1296</v>
      </c>
    </row>
    <row r="42" spans="2:16" x14ac:dyDescent="0.35">
      <c r="B42" s="15" t="s">
        <v>819</v>
      </c>
      <c r="C42" s="16" t="s">
        <v>662</v>
      </c>
      <c r="D42" s="16" t="s">
        <v>67</v>
      </c>
      <c r="E42" s="30">
        <v>9669</v>
      </c>
      <c r="F42" s="17">
        <v>181444</v>
      </c>
      <c r="G42" s="34">
        <v>18.76553935257007</v>
      </c>
      <c r="H42" s="17">
        <v>16347</v>
      </c>
      <c r="I42" s="2">
        <v>369401</v>
      </c>
      <c r="J42" s="18">
        <v>22.597479659876431</v>
      </c>
      <c r="K42" s="4">
        <v>187957</v>
      </c>
      <c r="L42" s="37"/>
      <c r="N42" s="19">
        <v>1.0358953726769693</v>
      </c>
      <c r="P42" s="20" t="s">
        <v>1289</v>
      </c>
    </row>
    <row r="43" spans="2:16" x14ac:dyDescent="0.35">
      <c r="B43" s="15" t="s">
        <v>839</v>
      </c>
      <c r="C43" s="16" t="s">
        <v>750</v>
      </c>
      <c r="D43" s="16" t="s">
        <v>351</v>
      </c>
      <c r="E43" s="30">
        <v>22253</v>
      </c>
      <c r="F43" s="17">
        <v>212508</v>
      </c>
      <c r="G43" s="34">
        <v>9.5496337572462142</v>
      </c>
      <c r="H43" s="17">
        <v>44124</v>
      </c>
      <c r="I43" s="2">
        <v>391706</v>
      </c>
      <c r="J43" s="18">
        <v>8.8773909890309124</v>
      </c>
      <c r="K43" s="4">
        <v>179198</v>
      </c>
      <c r="L43" s="37"/>
      <c r="N43" s="19">
        <v>0.84325295988856885</v>
      </c>
      <c r="P43" s="20" t="s">
        <v>1297</v>
      </c>
    </row>
    <row r="44" spans="2:16" x14ac:dyDescent="0.35">
      <c r="B44" s="15" t="s">
        <v>1061</v>
      </c>
      <c r="C44" s="16" t="s">
        <v>591</v>
      </c>
      <c r="D44" s="16" t="s">
        <v>59</v>
      </c>
      <c r="E44" s="30">
        <v>20840</v>
      </c>
      <c r="F44" s="17">
        <v>230090</v>
      </c>
      <c r="G44" s="34">
        <v>11.040786948176583</v>
      </c>
      <c r="H44" s="17">
        <v>30424</v>
      </c>
      <c r="I44" s="2">
        <v>407949</v>
      </c>
      <c r="J44" s="18">
        <v>13.40878911385748</v>
      </c>
      <c r="K44" s="4">
        <v>177859</v>
      </c>
      <c r="L44" s="37"/>
      <c r="N44" s="19">
        <v>0.77299752270850541</v>
      </c>
      <c r="P44" s="20" t="s">
        <v>1060</v>
      </c>
    </row>
    <row r="45" spans="2:16" x14ac:dyDescent="0.35">
      <c r="B45" s="15" t="s">
        <v>810</v>
      </c>
      <c r="C45" s="16" t="s">
        <v>659</v>
      </c>
      <c r="D45" s="16" t="s">
        <v>61</v>
      </c>
      <c r="E45" s="30">
        <v>2295</v>
      </c>
      <c r="F45" s="17">
        <v>18203</v>
      </c>
      <c r="G45" s="34">
        <v>7.9315904139433551</v>
      </c>
      <c r="H45" s="17">
        <v>23895</v>
      </c>
      <c r="I45" s="2">
        <v>194915</v>
      </c>
      <c r="J45" s="18">
        <v>8.1571458464113835</v>
      </c>
      <c r="K45" s="4">
        <v>176712</v>
      </c>
      <c r="L45" s="37"/>
      <c r="N45" s="19">
        <v>9.7078503543371966</v>
      </c>
      <c r="P45" s="20" t="s">
        <v>1287</v>
      </c>
    </row>
    <row r="46" spans="2:16" x14ac:dyDescent="0.35">
      <c r="B46" s="15" t="s">
        <v>976</v>
      </c>
      <c r="C46" s="16" t="s">
        <v>916</v>
      </c>
      <c r="D46" s="16" t="s">
        <v>917</v>
      </c>
      <c r="E46" s="32">
        <v>0</v>
      </c>
      <c r="F46" s="1">
        <v>0</v>
      </c>
      <c r="G46" s="34">
        <v>0</v>
      </c>
      <c r="H46" s="17">
        <v>24706</v>
      </c>
      <c r="I46" s="2">
        <v>171804</v>
      </c>
      <c r="J46" s="18">
        <v>6.953938314579454</v>
      </c>
      <c r="K46" s="4">
        <v>171804</v>
      </c>
      <c r="L46" s="37" t="s">
        <v>844</v>
      </c>
      <c r="N46" s="19" t="e">
        <v>#DIV/0!</v>
      </c>
      <c r="P46" s="20" t="s">
        <v>1062</v>
      </c>
    </row>
    <row r="47" spans="2:16" x14ac:dyDescent="0.35">
      <c r="B47" s="15" t="s">
        <v>817</v>
      </c>
      <c r="C47" s="16" t="s">
        <v>442</v>
      </c>
      <c r="D47" s="16" t="s">
        <v>45</v>
      </c>
      <c r="E47" s="30">
        <v>27070</v>
      </c>
      <c r="F47" s="17">
        <v>267236</v>
      </c>
      <c r="G47" s="34">
        <v>9.8720354636128551</v>
      </c>
      <c r="H47" s="17">
        <v>45121</v>
      </c>
      <c r="I47" s="2">
        <v>429470</v>
      </c>
      <c r="J47" s="18">
        <v>9.5181844374016542</v>
      </c>
      <c r="K47" s="4">
        <v>162234</v>
      </c>
      <c r="L47" s="37"/>
      <c r="N47" s="19">
        <v>0.60708138125102906</v>
      </c>
      <c r="P47" s="20" t="s">
        <v>1292</v>
      </c>
    </row>
    <row r="48" spans="2:16" x14ac:dyDescent="0.35">
      <c r="B48" s="15" t="s">
        <v>825</v>
      </c>
      <c r="C48" s="16" t="s">
        <v>602</v>
      </c>
      <c r="D48" s="16" t="s">
        <v>156</v>
      </c>
      <c r="E48" s="30">
        <v>3143</v>
      </c>
      <c r="F48" s="17">
        <v>66660</v>
      </c>
      <c r="G48" s="34">
        <v>21.209035952911233</v>
      </c>
      <c r="H48" s="17">
        <v>11314</v>
      </c>
      <c r="I48" s="2">
        <v>228137</v>
      </c>
      <c r="J48" s="18">
        <v>20.164132932649814</v>
      </c>
      <c r="K48" s="4">
        <v>161477</v>
      </c>
      <c r="L48" s="37"/>
      <c r="N48" s="19">
        <v>2.4223972397239724</v>
      </c>
      <c r="P48" s="20" t="s">
        <v>1323</v>
      </c>
    </row>
    <row r="49" spans="2:16" x14ac:dyDescent="0.35">
      <c r="B49" s="15">
        <v>0</v>
      </c>
      <c r="C49" s="16" t="s">
        <v>553</v>
      </c>
      <c r="D49" s="16" t="s">
        <v>47</v>
      </c>
      <c r="E49" s="30">
        <v>10124</v>
      </c>
      <c r="F49" s="17">
        <v>231551</v>
      </c>
      <c r="G49" s="34">
        <v>22.871493480837614</v>
      </c>
      <c r="H49" s="17">
        <v>21667</v>
      </c>
      <c r="I49" s="2">
        <v>374149</v>
      </c>
      <c r="J49" s="18">
        <v>17.268149720773526</v>
      </c>
      <c r="K49" s="4">
        <v>142598</v>
      </c>
      <c r="L49" s="37"/>
      <c r="N49" s="19">
        <v>0.61583841140828588</v>
      </c>
      <c r="P49" s="20" t="s">
        <v>1292</v>
      </c>
    </row>
    <row r="50" spans="2:16" x14ac:dyDescent="0.35">
      <c r="B50" s="15" t="s">
        <v>976</v>
      </c>
      <c r="C50" s="16" t="s">
        <v>964</v>
      </c>
      <c r="D50" s="16" t="s">
        <v>965</v>
      </c>
      <c r="E50" s="32">
        <v>0</v>
      </c>
      <c r="F50" s="1">
        <v>0</v>
      </c>
      <c r="G50" s="34">
        <v>0</v>
      </c>
      <c r="H50" s="17">
        <v>7338</v>
      </c>
      <c r="I50" s="2">
        <v>133701</v>
      </c>
      <c r="J50" s="18">
        <v>18.220359771054785</v>
      </c>
      <c r="K50" s="4">
        <v>133701</v>
      </c>
      <c r="L50" s="37" t="s">
        <v>844</v>
      </c>
      <c r="N50" s="19" t="e">
        <v>#DIV/0!</v>
      </c>
      <c r="P50" s="20" t="s">
        <v>1297</v>
      </c>
    </row>
    <row r="51" spans="2:16" x14ac:dyDescent="0.35">
      <c r="B51" s="15" t="s">
        <v>822</v>
      </c>
      <c r="C51" s="16" t="s">
        <v>684</v>
      </c>
      <c r="D51" s="16" t="s">
        <v>120</v>
      </c>
      <c r="E51" s="30">
        <v>8899</v>
      </c>
      <c r="F51" s="17">
        <v>91446</v>
      </c>
      <c r="G51" s="34">
        <v>10.275986065850095</v>
      </c>
      <c r="H51" s="17">
        <v>22562</v>
      </c>
      <c r="I51" s="2">
        <v>223541</v>
      </c>
      <c r="J51" s="18">
        <v>9.9078539136601371</v>
      </c>
      <c r="K51" s="4">
        <v>132095</v>
      </c>
      <c r="L51" s="37"/>
      <c r="N51" s="19">
        <v>1.4445137020755419</v>
      </c>
      <c r="P51" s="20" t="s">
        <v>1283</v>
      </c>
    </row>
    <row r="52" spans="2:16" x14ac:dyDescent="0.35">
      <c r="B52" s="15">
        <v>0</v>
      </c>
      <c r="C52" s="16" t="s">
        <v>388</v>
      </c>
      <c r="D52" s="16" t="s">
        <v>3</v>
      </c>
      <c r="E52" s="30">
        <v>31800</v>
      </c>
      <c r="F52" s="17">
        <v>522354</v>
      </c>
      <c r="G52" s="34">
        <v>16.426226415094341</v>
      </c>
      <c r="H52" s="17">
        <v>51788</v>
      </c>
      <c r="I52" s="2">
        <v>650005</v>
      </c>
      <c r="J52" s="18">
        <v>12.551266702711052</v>
      </c>
      <c r="K52" s="4">
        <v>127651</v>
      </c>
      <c r="L52" s="37"/>
      <c r="N52" s="19">
        <v>0.24437641905680821</v>
      </c>
      <c r="P52" s="20" t="s">
        <v>1292</v>
      </c>
    </row>
    <row r="53" spans="2:16" x14ac:dyDescent="0.35">
      <c r="B53" s="15" t="e">
        <v>#N/A</v>
      </c>
      <c r="C53" s="16" t="s">
        <v>574</v>
      </c>
      <c r="D53" s="16" t="s">
        <v>72</v>
      </c>
      <c r="E53" s="30">
        <v>29786</v>
      </c>
      <c r="F53" s="17">
        <v>307008</v>
      </c>
      <c r="G53" s="34">
        <v>10.30712415228631</v>
      </c>
      <c r="H53" s="17">
        <v>31174</v>
      </c>
      <c r="I53" s="2">
        <v>426195</v>
      </c>
      <c r="J53" s="18">
        <v>13.671489061397319</v>
      </c>
      <c r="K53" s="4">
        <v>119187</v>
      </c>
      <c r="L53" s="37"/>
      <c r="N53" s="19">
        <v>0.38822115384615385</v>
      </c>
      <c r="P53" s="20" t="e">
        <v>#N/A</v>
      </c>
    </row>
    <row r="54" spans="2:16" x14ac:dyDescent="0.35">
      <c r="B54" s="15" t="s">
        <v>810</v>
      </c>
      <c r="C54" s="16" t="s">
        <v>649</v>
      </c>
      <c r="D54" s="16" t="s">
        <v>28</v>
      </c>
      <c r="E54" s="30">
        <v>46852</v>
      </c>
      <c r="F54" s="17">
        <v>442907</v>
      </c>
      <c r="G54" s="34">
        <v>9.4533210962178771</v>
      </c>
      <c r="H54" s="17">
        <v>45316</v>
      </c>
      <c r="I54" s="2">
        <v>557394</v>
      </c>
      <c r="J54" s="18">
        <v>12.300158884279282</v>
      </c>
      <c r="K54" s="4">
        <v>114487</v>
      </c>
      <c r="L54" s="37"/>
      <c r="N54" s="19">
        <v>0.25848993129483167</v>
      </c>
      <c r="P54" s="20" t="s">
        <v>1289</v>
      </c>
    </row>
    <row r="55" spans="2:16" x14ac:dyDescent="0.35">
      <c r="B55" s="15">
        <v>0</v>
      </c>
      <c r="C55" s="16" t="s">
        <v>628</v>
      </c>
      <c r="D55" s="16" t="s">
        <v>148</v>
      </c>
      <c r="E55" s="30">
        <v>652</v>
      </c>
      <c r="F55" s="17">
        <v>14360</v>
      </c>
      <c r="G55" s="34">
        <v>22.024539877300615</v>
      </c>
      <c r="H55" s="17">
        <v>5647</v>
      </c>
      <c r="I55" s="2">
        <v>128584</v>
      </c>
      <c r="J55" s="18">
        <v>22.770320524172128</v>
      </c>
      <c r="K55" s="4">
        <v>114224</v>
      </c>
      <c r="L55" s="37"/>
      <c r="N55" s="19">
        <v>7.9543175487465181</v>
      </c>
      <c r="P55" s="20" t="s">
        <v>1294</v>
      </c>
    </row>
    <row r="56" spans="2:16" x14ac:dyDescent="0.35">
      <c r="B56" s="15">
        <v>0</v>
      </c>
      <c r="C56" s="16" t="s">
        <v>433</v>
      </c>
      <c r="D56" s="16" t="s">
        <v>81</v>
      </c>
      <c r="E56" s="30">
        <v>1682</v>
      </c>
      <c r="F56" s="17">
        <v>19069</v>
      </c>
      <c r="G56" s="34">
        <v>11.337098692033294</v>
      </c>
      <c r="H56" s="17">
        <v>11529</v>
      </c>
      <c r="I56" s="2">
        <v>128110</v>
      </c>
      <c r="J56" s="18">
        <v>11.111978489027669</v>
      </c>
      <c r="K56" s="4">
        <v>109041</v>
      </c>
      <c r="L56" s="37"/>
      <c r="N56" s="19">
        <v>5.7182337825790546</v>
      </c>
      <c r="P56" s="20" t="s">
        <v>1060</v>
      </c>
    </row>
    <row r="57" spans="2:16" x14ac:dyDescent="0.35">
      <c r="B57" s="15" t="s">
        <v>820</v>
      </c>
      <c r="C57" s="16" t="s">
        <v>666</v>
      </c>
      <c r="D57" s="16" t="s">
        <v>79</v>
      </c>
      <c r="E57" s="30">
        <v>8162</v>
      </c>
      <c r="F57" s="17">
        <v>142105</v>
      </c>
      <c r="G57" s="34">
        <v>17.410561136976231</v>
      </c>
      <c r="H57" s="17">
        <v>18078</v>
      </c>
      <c r="I57" s="2">
        <v>250472</v>
      </c>
      <c r="J57" s="18">
        <v>13.855072463768115</v>
      </c>
      <c r="K57" s="4">
        <v>108367</v>
      </c>
      <c r="L57" s="37"/>
      <c r="N57" s="19">
        <v>0.76258400478519406</v>
      </c>
      <c r="P57" s="20" t="s">
        <v>1288</v>
      </c>
    </row>
    <row r="58" spans="2:16" x14ac:dyDescent="0.35">
      <c r="B58" s="15" t="s">
        <v>976</v>
      </c>
      <c r="C58" s="16" t="s">
        <v>906</v>
      </c>
      <c r="D58" s="16" t="s">
        <v>907</v>
      </c>
      <c r="E58" s="32">
        <v>0</v>
      </c>
      <c r="F58" s="1">
        <v>0</v>
      </c>
      <c r="G58" s="34">
        <v>0</v>
      </c>
      <c r="H58" s="17">
        <v>8884</v>
      </c>
      <c r="I58" s="2">
        <v>107205</v>
      </c>
      <c r="J58" s="18">
        <v>12.067199459702836</v>
      </c>
      <c r="K58" s="4">
        <v>107205</v>
      </c>
      <c r="L58" s="37" t="s">
        <v>844</v>
      </c>
      <c r="N58" s="19" t="e">
        <v>#DIV/0!</v>
      </c>
      <c r="P58" s="20" t="s">
        <v>1282</v>
      </c>
    </row>
    <row r="59" spans="2:16" x14ac:dyDescent="0.35">
      <c r="B59" s="15" t="s">
        <v>976</v>
      </c>
      <c r="C59" s="16" t="s">
        <v>932</v>
      </c>
      <c r="D59" s="16" t="s">
        <v>933</v>
      </c>
      <c r="E59" s="32">
        <v>0</v>
      </c>
      <c r="F59" s="1">
        <v>0</v>
      </c>
      <c r="G59" s="34">
        <v>0</v>
      </c>
      <c r="H59" s="17">
        <v>2948</v>
      </c>
      <c r="I59" s="2">
        <v>101270</v>
      </c>
      <c r="J59" s="18">
        <v>34.352103120759836</v>
      </c>
      <c r="K59" s="4">
        <v>101270</v>
      </c>
      <c r="L59" s="37" t="s">
        <v>844</v>
      </c>
      <c r="N59" s="19" t="e">
        <v>#DIV/0!</v>
      </c>
      <c r="P59" s="20" t="s">
        <v>1300</v>
      </c>
    </row>
    <row r="60" spans="2:16" x14ac:dyDescent="0.35">
      <c r="B60" s="15" t="s">
        <v>976</v>
      </c>
      <c r="C60" s="16" t="s">
        <v>910</v>
      </c>
      <c r="D60" s="16" t="s">
        <v>911</v>
      </c>
      <c r="E60" s="32">
        <v>0</v>
      </c>
      <c r="F60" s="1">
        <v>0</v>
      </c>
      <c r="G60" s="34">
        <v>0</v>
      </c>
      <c r="H60" s="17">
        <v>11326</v>
      </c>
      <c r="I60" s="2">
        <v>94093</v>
      </c>
      <c r="J60" s="18">
        <v>8.3076990994172704</v>
      </c>
      <c r="K60" s="4">
        <v>94093</v>
      </c>
      <c r="L60" s="37" t="s">
        <v>844</v>
      </c>
      <c r="N60" s="19" t="e">
        <v>#DIV/0!</v>
      </c>
      <c r="P60" s="20" t="s">
        <v>1301</v>
      </c>
    </row>
    <row r="61" spans="2:16" x14ac:dyDescent="0.35">
      <c r="B61" s="15" t="s">
        <v>841</v>
      </c>
      <c r="C61" s="16" t="s">
        <v>746</v>
      </c>
      <c r="D61" s="16" t="s">
        <v>347</v>
      </c>
      <c r="E61" s="30">
        <v>7769</v>
      </c>
      <c r="F61" s="17">
        <v>88387</v>
      </c>
      <c r="G61" s="34">
        <v>11.376882481657871</v>
      </c>
      <c r="H61" s="17">
        <v>16873</v>
      </c>
      <c r="I61" s="2">
        <v>177212</v>
      </c>
      <c r="J61" s="18">
        <v>10.502696615895218</v>
      </c>
      <c r="K61" s="4">
        <v>88825</v>
      </c>
      <c r="L61" s="37"/>
      <c r="N61" s="19">
        <v>1.0049554798782627</v>
      </c>
      <c r="P61" s="20" t="s">
        <v>1282</v>
      </c>
    </row>
    <row r="62" spans="2:16" x14ac:dyDescent="0.35">
      <c r="B62" s="15" t="s">
        <v>841</v>
      </c>
      <c r="C62" s="16" t="s">
        <v>776</v>
      </c>
      <c r="D62" s="16" t="s">
        <v>378</v>
      </c>
      <c r="E62" s="30">
        <v>2267</v>
      </c>
      <c r="F62" s="17">
        <v>17974</v>
      </c>
      <c r="G62" s="34">
        <v>7.9285399205999116</v>
      </c>
      <c r="H62" s="17">
        <v>12062</v>
      </c>
      <c r="I62" s="2">
        <v>106147</v>
      </c>
      <c r="J62" s="18">
        <v>8.8001160669872327</v>
      </c>
      <c r="K62" s="4">
        <v>88173</v>
      </c>
      <c r="L62" s="37"/>
      <c r="N62" s="19">
        <v>4.905585846222321</v>
      </c>
      <c r="P62" s="20" t="s">
        <v>1301</v>
      </c>
    </row>
    <row r="63" spans="2:16" x14ac:dyDescent="0.35">
      <c r="B63" s="15">
        <v>0</v>
      </c>
      <c r="C63" s="16" t="s">
        <v>668</v>
      </c>
      <c r="D63" s="16" t="s">
        <v>82</v>
      </c>
      <c r="E63" s="30">
        <v>10292</v>
      </c>
      <c r="F63" s="17">
        <v>191677</v>
      </c>
      <c r="G63" s="34">
        <v>18.623882627283326</v>
      </c>
      <c r="H63" s="17">
        <v>17939</v>
      </c>
      <c r="I63" s="2">
        <v>278831</v>
      </c>
      <c r="J63" s="18">
        <v>15.543285578906293</v>
      </c>
      <c r="K63" s="4">
        <v>87154</v>
      </c>
      <c r="L63" s="37"/>
      <c r="N63" s="19">
        <v>0.45469200790913883</v>
      </c>
      <c r="P63" s="20" t="s">
        <v>1295</v>
      </c>
    </row>
    <row r="64" spans="2:16" x14ac:dyDescent="0.35">
      <c r="B64" s="15" t="s">
        <v>821</v>
      </c>
      <c r="C64" s="16" t="s">
        <v>637</v>
      </c>
      <c r="D64" s="16" t="s">
        <v>149</v>
      </c>
      <c r="E64" s="30">
        <v>2510</v>
      </c>
      <c r="F64" s="17">
        <v>22848</v>
      </c>
      <c r="G64" s="34">
        <v>9.1027888446215144</v>
      </c>
      <c r="H64" s="17">
        <v>13682</v>
      </c>
      <c r="I64" s="2">
        <v>109853</v>
      </c>
      <c r="J64" s="18">
        <v>8.0290162256979976</v>
      </c>
      <c r="K64" s="4">
        <v>87005</v>
      </c>
      <c r="L64" s="37"/>
      <c r="N64" s="19">
        <v>3.8079919467787113</v>
      </c>
      <c r="P64" s="20" t="s">
        <v>1292</v>
      </c>
    </row>
    <row r="65" spans="2:16" x14ac:dyDescent="0.35">
      <c r="B65" s="15" t="s">
        <v>976</v>
      </c>
      <c r="C65" s="16" t="s">
        <v>898</v>
      </c>
      <c r="D65" s="16" t="s">
        <v>899</v>
      </c>
      <c r="E65" s="32">
        <v>0</v>
      </c>
      <c r="F65" s="1">
        <v>0</v>
      </c>
      <c r="G65" s="34">
        <v>0</v>
      </c>
      <c r="H65" s="17">
        <v>4159</v>
      </c>
      <c r="I65" s="2">
        <v>83536</v>
      </c>
      <c r="J65" s="18">
        <v>20.085597499398894</v>
      </c>
      <c r="K65" s="4">
        <v>83536</v>
      </c>
      <c r="L65" s="37" t="s">
        <v>844</v>
      </c>
      <c r="N65" s="19" t="e">
        <v>#DIV/0!</v>
      </c>
      <c r="P65" s="20" t="s">
        <v>1283</v>
      </c>
    </row>
    <row r="66" spans="2:16" x14ac:dyDescent="0.35">
      <c r="B66" s="15" t="s">
        <v>841</v>
      </c>
      <c r="C66" s="16" t="s">
        <v>745</v>
      </c>
      <c r="D66" s="16" t="s">
        <v>346</v>
      </c>
      <c r="E66" s="30">
        <v>477</v>
      </c>
      <c r="F66" s="17">
        <v>19422</v>
      </c>
      <c r="G66" s="34">
        <v>40.716981132075475</v>
      </c>
      <c r="H66" s="17">
        <v>1101</v>
      </c>
      <c r="I66" s="2">
        <v>97216</v>
      </c>
      <c r="J66" s="18">
        <v>88.297910990009086</v>
      </c>
      <c r="K66" s="4">
        <v>77794</v>
      </c>
      <c r="L66" s="37"/>
      <c r="N66" s="19">
        <v>4.0054577283492945</v>
      </c>
      <c r="P66" s="20" t="s">
        <v>1283</v>
      </c>
    </row>
    <row r="67" spans="2:16" x14ac:dyDescent="0.35">
      <c r="B67" s="15" t="s">
        <v>839</v>
      </c>
      <c r="C67" s="16" t="s">
        <v>770</v>
      </c>
      <c r="D67" s="16" t="s">
        <v>372</v>
      </c>
      <c r="E67" s="30">
        <v>1119</v>
      </c>
      <c r="F67" s="17">
        <v>11314</v>
      </c>
      <c r="G67" s="34">
        <v>10.110813226094727</v>
      </c>
      <c r="H67" s="17">
        <v>7818</v>
      </c>
      <c r="I67" s="2">
        <v>88287</v>
      </c>
      <c r="J67" s="18">
        <v>11.292785878741366</v>
      </c>
      <c r="K67" s="4">
        <v>76973</v>
      </c>
      <c r="L67" s="37"/>
      <c r="N67" s="19">
        <v>6.8033409934594307</v>
      </c>
      <c r="P67" s="20" t="s">
        <v>1282</v>
      </c>
    </row>
    <row r="68" spans="2:16" x14ac:dyDescent="0.35">
      <c r="B68" s="15" t="s">
        <v>824</v>
      </c>
      <c r="C68" s="16" t="s">
        <v>559</v>
      </c>
      <c r="D68" s="16" t="s">
        <v>40</v>
      </c>
      <c r="E68" s="30">
        <v>0</v>
      </c>
      <c r="F68" s="17">
        <v>0</v>
      </c>
      <c r="G68" s="34">
        <v>0</v>
      </c>
      <c r="H68" s="17">
        <v>6797</v>
      </c>
      <c r="I68" s="2">
        <v>75902</v>
      </c>
      <c r="J68" s="18">
        <v>11.166985434750625</v>
      </c>
      <c r="K68" s="4">
        <v>75902</v>
      </c>
      <c r="L68" s="37" t="s">
        <v>830</v>
      </c>
      <c r="N68" s="19" t="e">
        <v>#DIV/0!</v>
      </c>
      <c r="P68" s="20" t="s">
        <v>1285</v>
      </c>
    </row>
    <row r="69" spans="2:16" x14ac:dyDescent="0.35">
      <c r="B69" s="15" t="s">
        <v>815</v>
      </c>
      <c r="C69" s="16" t="s">
        <v>677</v>
      </c>
      <c r="D69" s="16" t="s">
        <v>109</v>
      </c>
      <c r="E69" s="30">
        <v>2553</v>
      </c>
      <c r="F69" s="17">
        <v>42144</v>
      </c>
      <c r="G69" s="34">
        <v>16.507638072855464</v>
      </c>
      <c r="H69" s="17">
        <v>10481</v>
      </c>
      <c r="I69" s="2">
        <v>115605</v>
      </c>
      <c r="J69" s="18">
        <v>11.029958973380403</v>
      </c>
      <c r="K69" s="4">
        <v>73461</v>
      </c>
      <c r="L69" s="37"/>
      <c r="N69" s="19">
        <v>1.7430951025056947</v>
      </c>
      <c r="P69" s="20" t="s">
        <v>1294</v>
      </c>
    </row>
    <row r="70" spans="2:16" x14ac:dyDescent="0.35">
      <c r="B70" s="15" t="s">
        <v>839</v>
      </c>
      <c r="C70" s="16" t="s">
        <v>772</v>
      </c>
      <c r="D70" s="16" t="s">
        <v>374</v>
      </c>
      <c r="E70" s="30">
        <v>341</v>
      </c>
      <c r="F70" s="17">
        <v>4143</v>
      </c>
      <c r="G70" s="34">
        <v>12.149560117302054</v>
      </c>
      <c r="H70" s="17">
        <v>7146</v>
      </c>
      <c r="I70" s="2">
        <v>77191</v>
      </c>
      <c r="J70" s="18">
        <v>10.801987125664708</v>
      </c>
      <c r="K70" s="4">
        <v>73048</v>
      </c>
      <c r="L70" s="37"/>
      <c r="N70" s="19">
        <v>17.631667873521604</v>
      </c>
      <c r="P70" s="20" t="s">
        <v>1324</v>
      </c>
    </row>
    <row r="71" spans="2:16" x14ac:dyDescent="0.35">
      <c r="B71" s="15" t="s">
        <v>821</v>
      </c>
      <c r="C71" s="16" t="s">
        <v>631</v>
      </c>
      <c r="D71" s="16" t="s">
        <v>70</v>
      </c>
      <c r="E71" s="30">
        <v>19010</v>
      </c>
      <c r="F71" s="17">
        <v>237182</v>
      </c>
      <c r="G71" s="34">
        <v>12.476696475539191</v>
      </c>
      <c r="H71" s="17">
        <v>25633</v>
      </c>
      <c r="I71" s="2">
        <v>309115</v>
      </c>
      <c r="J71" s="18">
        <v>12.059259548238598</v>
      </c>
      <c r="K71" s="4">
        <v>71933</v>
      </c>
      <c r="L71" s="37"/>
      <c r="N71" s="19">
        <v>0.30328186793264245</v>
      </c>
      <c r="P71" s="20" t="s">
        <v>1295</v>
      </c>
    </row>
    <row r="72" spans="2:16" x14ac:dyDescent="0.35">
      <c r="B72" s="15" t="s">
        <v>817</v>
      </c>
      <c r="C72" s="16" t="s">
        <v>441</v>
      </c>
      <c r="D72" s="16" t="s">
        <v>32</v>
      </c>
      <c r="E72" s="30">
        <v>16549</v>
      </c>
      <c r="F72" s="17">
        <v>267364</v>
      </c>
      <c r="G72" s="34">
        <v>16.155900658650069</v>
      </c>
      <c r="H72" s="17">
        <v>21900</v>
      </c>
      <c r="I72" s="2">
        <v>336951</v>
      </c>
      <c r="J72" s="18">
        <v>15.385890410958904</v>
      </c>
      <c r="K72" s="4">
        <v>69587</v>
      </c>
      <c r="L72" s="37"/>
      <c r="N72" s="19">
        <v>0.26027064227046276</v>
      </c>
      <c r="P72" s="20" t="s">
        <v>1292</v>
      </c>
    </row>
    <row r="73" spans="2:16" x14ac:dyDescent="0.35">
      <c r="B73" s="15" t="e">
        <v>#N/A</v>
      </c>
      <c r="C73" s="16" t="s">
        <v>612</v>
      </c>
      <c r="D73" s="16" t="s">
        <v>143</v>
      </c>
      <c r="E73" s="30">
        <v>1147</v>
      </c>
      <c r="F73" s="17">
        <v>12297</v>
      </c>
      <c r="G73" s="34">
        <v>10.721011333914559</v>
      </c>
      <c r="H73" s="17">
        <v>4844</v>
      </c>
      <c r="I73" s="2">
        <v>80244</v>
      </c>
      <c r="J73" s="18">
        <v>16.565648224607763</v>
      </c>
      <c r="K73" s="4">
        <v>67947</v>
      </c>
      <c r="L73" s="37"/>
      <c r="N73" s="19">
        <v>5.5254940229324223</v>
      </c>
      <c r="P73" s="20" t="e">
        <v>#N/A</v>
      </c>
    </row>
    <row r="74" spans="2:16" x14ac:dyDescent="0.35">
      <c r="B74" s="15" t="s">
        <v>826</v>
      </c>
      <c r="C74" s="16" t="s">
        <v>625</v>
      </c>
      <c r="D74" s="16" t="s">
        <v>51</v>
      </c>
      <c r="E74" s="30">
        <v>4237</v>
      </c>
      <c r="F74" s="17">
        <v>64571</v>
      </c>
      <c r="G74" s="34">
        <v>15.239792305876799</v>
      </c>
      <c r="H74" s="17">
        <v>11540</v>
      </c>
      <c r="I74" s="2">
        <v>129467</v>
      </c>
      <c r="J74" s="18">
        <v>11.21897746967071</v>
      </c>
      <c r="K74" s="4">
        <v>64896</v>
      </c>
      <c r="L74" s="37"/>
      <c r="N74" s="19">
        <v>1.0050332192470304</v>
      </c>
      <c r="P74" s="20" t="s">
        <v>1287</v>
      </c>
    </row>
    <row r="75" spans="2:16" x14ac:dyDescent="0.35">
      <c r="B75" s="15" t="s">
        <v>815</v>
      </c>
      <c r="C75" s="16" t="s">
        <v>716</v>
      </c>
      <c r="D75" s="16" t="s">
        <v>201</v>
      </c>
      <c r="E75" s="30">
        <v>1729</v>
      </c>
      <c r="F75" s="17">
        <v>23226</v>
      </c>
      <c r="G75" s="34">
        <v>13.433198380566802</v>
      </c>
      <c r="H75" s="17">
        <v>4834</v>
      </c>
      <c r="I75" s="2">
        <v>86238</v>
      </c>
      <c r="J75" s="18">
        <v>17.839884153909807</v>
      </c>
      <c r="K75" s="4">
        <v>63012</v>
      </c>
      <c r="L75" s="37"/>
      <c r="N75" s="19">
        <v>2.7129940583828467</v>
      </c>
      <c r="P75" s="20" t="s">
        <v>1293</v>
      </c>
    </row>
    <row r="76" spans="2:16" x14ac:dyDescent="0.35">
      <c r="B76" s="15" t="s">
        <v>976</v>
      </c>
      <c r="C76" s="16" t="s">
        <v>896</v>
      </c>
      <c r="D76" s="16" t="s">
        <v>897</v>
      </c>
      <c r="E76" s="32">
        <v>0</v>
      </c>
      <c r="F76" s="1">
        <v>0</v>
      </c>
      <c r="G76" s="34">
        <v>0</v>
      </c>
      <c r="H76" s="17">
        <v>4939</v>
      </c>
      <c r="I76" s="2">
        <v>62020</v>
      </c>
      <c r="J76" s="18">
        <v>12.557197813322535</v>
      </c>
      <c r="K76" s="4">
        <v>62020</v>
      </c>
      <c r="L76" s="37" t="s">
        <v>844</v>
      </c>
      <c r="N76" s="19" t="e">
        <v>#DIV/0!</v>
      </c>
      <c r="P76" s="20" t="s">
        <v>1302</v>
      </c>
    </row>
    <row r="77" spans="2:16" x14ac:dyDescent="0.35">
      <c r="B77" s="15" t="s">
        <v>838</v>
      </c>
      <c r="C77" s="16" t="s">
        <v>920</v>
      </c>
      <c r="D77" s="16" t="s">
        <v>921</v>
      </c>
      <c r="E77" s="32">
        <v>0</v>
      </c>
      <c r="F77" s="1">
        <v>0</v>
      </c>
      <c r="G77" s="34">
        <v>0</v>
      </c>
      <c r="H77" s="17">
        <v>6456</v>
      </c>
      <c r="I77" s="2">
        <v>58094</v>
      </c>
      <c r="J77" s="18">
        <v>8.9984510532837678</v>
      </c>
      <c r="K77" s="4">
        <v>58094</v>
      </c>
      <c r="L77" s="37" t="s">
        <v>844</v>
      </c>
      <c r="N77" s="19" t="e">
        <v>#DIV/0!</v>
      </c>
      <c r="P77" s="20" t="s">
        <v>1325</v>
      </c>
    </row>
    <row r="78" spans="2:16" x14ac:dyDescent="0.35">
      <c r="B78" s="15" t="s">
        <v>840</v>
      </c>
      <c r="C78" s="16" t="s">
        <v>946</v>
      </c>
      <c r="D78" s="16" t="s">
        <v>947</v>
      </c>
      <c r="E78" s="32">
        <v>0</v>
      </c>
      <c r="F78" s="1">
        <v>0</v>
      </c>
      <c r="G78" s="34">
        <v>0</v>
      </c>
      <c r="H78" s="17">
        <v>3710</v>
      </c>
      <c r="I78" s="2">
        <v>57680</v>
      </c>
      <c r="J78" s="18">
        <v>15.547169811320755</v>
      </c>
      <c r="K78" s="4">
        <v>57680</v>
      </c>
      <c r="L78" s="37" t="s">
        <v>844</v>
      </c>
      <c r="N78" s="19" t="e">
        <v>#DIV/0!</v>
      </c>
      <c r="P78" s="20" t="s">
        <v>1289</v>
      </c>
    </row>
    <row r="79" spans="2:16" x14ac:dyDescent="0.35">
      <c r="B79" s="15" t="s">
        <v>841</v>
      </c>
      <c r="C79" s="16" t="s">
        <v>748</v>
      </c>
      <c r="D79" s="16" t="s">
        <v>349</v>
      </c>
      <c r="E79" s="30">
        <v>9650</v>
      </c>
      <c r="F79" s="17">
        <v>92373</v>
      </c>
      <c r="G79" s="34">
        <v>9.5723316062176167</v>
      </c>
      <c r="H79" s="17">
        <v>15900</v>
      </c>
      <c r="I79" s="2">
        <v>143007</v>
      </c>
      <c r="J79" s="18">
        <v>8.9941509433962263</v>
      </c>
      <c r="K79" s="4">
        <v>50634</v>
      </c>
      <c r="L79" s="37"/>
      <c r="N79" s="19">
        <v>0.54814718586599975</v>
      </c>
      <c r="P79" s="20" t="s">
        <v>1326</v>
      </c>
    </row>
    <row r="80" spans="2:16" x14ac:dyDescent="0.35">
      <c r="B80" s="15" t="s">
        <v>839</v>
      </c>
      <c r="C80" s="16" t="s">
        <v>749</v>
      </c>
      <c r="D80" s="16" t="s">
        <v>350</v>
      </c>
      <c r="E80" s="30">
        <v>4042</v>
      </c>
      <c r="F80" s="17">
        <v>51743</v>
      </c>
      <c r="G80" s="34">
        <v>12.801335972290945</v>
      </c>
      <c r="H80" s="17">
        <v>7457</v>
      </c>
      <c r="I80" s="2">
        <v>102284</v>
      </c>
      <c r="J80" s="18">
        <v>13.71650797908006</v>
      </c>
      <c r="K80" s="4">
        <v>50541</v>
      </c>
      <c r="L80" s="37"/>
      <c r="N80" s="19">
        <v>0.97676980461125174</v>
      </c>
      <c r="P80" s="20" t="s">
        <v>1283</v>
      </c>
    </row>
    <row r="81" spans="2:16" x14ac:dyDescent="0.35">
      <c r="B81" s="15" t="s">
        <v>976</v>
      </c>
      <c r="C81" s="16" t="s">
        <v>930</v>
      </c>
      <c r="D81" s="16" t="s">
        <v>931</v>
      </c>
      <c r="E81" s="32">
        <v>0</v>
      </c>
      <c r="F81" s="1">
        <v>0</v>
      </c>
      <c r="G81" s="34">
        <v>0</v>
      </c>
      <c r="H81" s="17">
        <v>4758</v>
      </c>
      <c r="I81" s="2">
        <v>49374</v>
      </c>
      <c r="J81" s="18">
        <v>10.377049180327869</v>
      </c>
      <c r="K81" s="4">
        <v>49374</v>
      </c>
      <c r="L81" s="37" t="s">
        <v>844</v>
      </c>
      <c r="N81" s="19" t="e">
        <v>#DIV/0!</v>
      </c>
      <c r="P81" s="20" t="s">
        <v>1327</v>
      </c>
    </row>
    <row r="82" spans="2:16" x14ac:dyDescent="0.35">
      <c r="B82" s="15" t="s">
        <v>816</v>
      </c>
      <c r="C82" s="16" t="s">
        <v>565</v>
      </c>
      <c r="D82" s="16" t="s">
        <v>62</v>
      </c>
      <c r="E82" s="30">
        <v>7836</v>
      </c>
      <c r="F82" s="17">
        <v>134797</v>
      </c>
      <c r="G82" s="34">
        <v>17.202271567126086</v>
      </c>
      <c r="H82" s="17">
        <v>10634</v>
      </c>
      <c r="I82" s="2">
        <v>184013</v>
      </c>
      <c r="J82" s="18">
        <v>17.304212902012413</v>
      </c>
      <c r="K82" s="4">
        <v>49216</v>
      </c>
      <c r="L82" s="37"/>
      <c r="N82" s="19">
        <v>0.36511198320437399</v>
      </c>
      <c r="P82" s="20" t="s">
        <v>1295</v>
      </c>
    </row>
    <row r="83" spans="2:16" x14ac:dyDescent="0.35">
      <c r="B83" s="15" t="s">
        <v>841</v>
      </c>
      <c r="C83" s="16" t="s">
        <v>755</v>
      </c>
      <c r="D83" s="16" t="s">
        <v>356</v>
      </c>
      <c r="E83" s="30">
        <v>1134</v>
      </c>
      <c r="F83" s="17">
        <v>8604</v>
      </c>
      <c r="G83" s="34">
        <v>7.587301587301587</v>
      </c>
      <c r="H83" s="17">
        <v>8577</v>
      </c>
      <c r="I83" s="2">
        <v>57641</v>
      </c>
      <c r="J83" s="18">
        <v>6.7204150635420312</v>
      </c>
      <c r="K83" s="4">
        <v>49037</v>
      </c>
      <c r="L83" s="37"/>
      <c r="N83" s="19">
        <v>5.6993258949325893</v>
      </c>
      <c r="P83" s="20" t="s">
        <v>1062</v>
      </c>
    </row>
    <row r="84" spans="2:16" x14ac:dyDescent="0.35">
      <c r="B84" s="15" t="s">
        <v>840</v>
      </c>
      <c r="C84" s="16" t="s">
        <v>744</v>
      </c>
      <c r="D84" s="16" t="s">
        <v>344</v>
      </c>
      <c r="E84" s="30">
        <v>0</v>
      </c>
      <c r="F84" s="17">
        <v>0</v>
      </c>
      <c r="G84" s="34">
        <v>0</v>
      </c>
      <c r="H84" s="17">
        <v>1237</v>
      </c>
      <c r="I84" s="2">
        <v>48882</v>
      </c>
      <c r="J84" s="18">
        <v>39.516572352465644</v>
      </c>
      <c r="K84" s="4">
        <v>48882</v>
      </c>
      <c r="L84" s="37" t="s">
        <v>844</v>
      </c>
      <c r="N84" s="19" t="e">
        <v>#DIV/0!</v>
      </c>
      <c r="P84" s="20" t="s">
        <v>1294</v>
      </c>
    </row>
    <row r="85" spans="2:16" x14ac:dyDescent="0.35">
      <c r="B85" s="15" t="s">
        <v>838</v>
      </c>
      <c r="C85" s="16" t="s">
        <v>740</v>
      </c>
      <c r="D85" s="16" t="s">
        <v>340</v>
      </c>
      <c r="E85" s="30">
        <v>0</v>
      </c>
      <c r="F85" s="17">
        <v>0</v>
      </c>
      <c r="G85" s="34">
        <v>0</v>
      </c>
      <c r="H85" s="17">
        <v>3506</v>
      </c>
      <c r="I85" s="2">
        <v>48657</v>
      </c>
      <c r="J85" s="18">
        <v>13.878208784940103</v>
      </c>
      <c r="K85" s="4">
        <v>48657</v>
      </c>
      <c r="L85" s="37" t="s">
        <v>844</v>
      </c>
      <c r="N85" s="19" t="e">
        <v>#DIV/0!</v>
      </c>
      <c r="P85" s="20" t="s">
        <v>1294</v>
      </c>
    </row>
    <row r="86" spans="2:16" x14ac:dyDescent="0.35">
      <c r="B86" s="15" t="s">
        <v>976</v>
      </c>
      <c r="C86" s="16" t="s">
        <v>952</v>
      </c>
      <c r="D86" s="16" t="s">
        <v>953</v>
      </c>
      <c r="E86" s="32">
        <v>0</v>
      </c>
      <c r="F86" s="1">
        <v>0</v>
      </c>
      <c r="G86" s="34">
        <v>0</v>
      </c>
      <c r="H86" s="17">
        <v>4419</v>
      </c>
      <c r="I86" s="2">
        <v>48328</v>
      </c>
      <c r="J86" s="18">
        <v>10.936410952704232</v>
      </c>
      <c r="K86" s="4">
        <v>48328</v>
      </c>
      <c r="L86" s="37" t="s">
        <v>844</v>
      </c>
      <c r="N86" s="19" t="e">
        <v>#DIV/0!</v>
      </c>
      <c r="P86" s="20" t="s">
        <v>1302</v>
      </c>
    </row>
    <row r="87" spans="2:16" x14ac:dyDescent="0.35">
      <c r="B87" s="15" t="s">
        <v>810</v>
      </c>
      <c r="C87" s="16" t="s">
        <v>687</v>
      </c>
      <c r="D87" s="16" t="s">
        <v>124</v>
      </c>
      <c r="E87" s="30">
        <v>611</v>
      </c>
      <c r="F87" s="17">
        <v>9635</v>
      </c>
      <c r="G87" s="34">
        <v>15.76923076923077</v>
      </c>
      <c r="H87" s="17">
        <v>5567</v>
      </c>
      <c r="I87" s="2">
        <v>56744</v>
      </c>
      <c r="J87" s="18">
        <v>10.192922579486257</v>
      </c>
      <c r="K87" s="4">
        <v>47109</v>
      </c>
      <c r="L87" s="37"/>
      <c r="N87" s="19">
        <v>4.8893617021276592</v>
      </c>
      <c r="P87" s="20" t="s">
        <v>1297</v>
      </c>
    </row>
    <row r="88" spans="2:16" x14ac:dyDescent="0.35">
      <c r="B88" s="15" t="s">
        <v>975</v>
      </c>
      <c r="C88" s="16" t="s">
        <v>950</v>
      </c>
      <c r="D88" s="16" t="s">
        <v>951</v>
      </c>
      <c r="E88" s="32">
        <v>0</v>
      </c>
      <c r="F88" s="1">
        <v>0</v>
      </c>
      <c r="G88" s="34">
        <v>0</v>
      </c>
      <c r="H88" s="17">
        <v>5972</v>
      </c>
      <c r="I88" s="2">
        <v>43445</v>
      </c>
      <c r="J88" s="18">
        <v>7.2747823174815807</v>
      </c>
      <c r="K88" s="4">
        <v>43445</v>
      </c>
      <c r="L88" s="37" t="s">
        <v>844</v>
      </c>
      <c r="N88" s="19" t="e">
        <v>#DIV/0!</v>
      </c>
      <c r="P88" s="20" t="s">
        <v>1328</v>
      </c>
    </row>
    <row r="89" spans="2:16" x14ac:dyDescent="0.35">
      <c r="B89" s="15" t="e">
        <v>#N/A</v>
      </c>
      <c r="C89" s="16" t="s">
        <v>619</v>
      </c>
      <c r="D89" s="16" t="s">
        <v>71</v>
      </c>
      <c r="E89" s="30">
        <v>879</v>
      </c>
      <c r="F89" s="17">
        <v>20878</v>
      </c>
      <c r="G89" s="34">
        <v>23.751990898748577</v>
      </c>
      <c r="H89" s="17">
        <v>6695</v>
      </c>
      <c r="I89" s="2">
        <v>61650</v>
      </c>
      <c r="J89" s="18">
        <v>9.2083644510828968</v>
      </c>
      <c r="K89" s="4">
        <v>40772</v>
      </c>
      <c r="L89" s="37"/>
      <c r="N89" s="19">
        <v>1.9528690487594598</v>
      </c>
      <c r="P89" s="20" t="s">
        <v>1062</v>
      </c>
    </row>
    <row r="90" spans="2:16" x14ac:dyDescent="0.35">
      <c r="B90" s="15" t="s">
        <v>841</v>
      </c>
      <c r="C90" s="16" t="s">
        <v>894</v>
      </c>
      <c r="D90" s="16" t="s">
        <v>895</v>
      </c>
      <c r="E90" s="32">
        <v>0</v>
      </c>
      <c r="F90" s="1">
        <v>0</v>
      </c>
      <c r="G90" s="34">
        <v>0</v>
      </c>
      <c r="H90" s="17">
        <v>3468</v>
      </c>
      <c r="I90" s="2">
        <v>39756</v>
      </c>
      <c r="J90" s="18">
        <v>11.463667820069205</v>
      </c>
      <c r="K90" s="4">
        <v>39756</v>
      </c>
      <c r="L90" s="37" t="s">
        <v>830</v>
      </c>
      <c r="N90" s="19" t="e">
        <v>#DIV/0!</v>
      </c>
      <c r="P90" s="20" t="s">
        <v>1294</v>
      </c>
    </row>
    <row r="91" spans="2:16" x14ac:dyDescent="0.35">
      <c r="B91" s="15" t="s">
        <v>838</v>
      </c>
      <c r="C91" s="16" t="s">
        <v>873</v>
      </c>
      <c r="D91" s="16" t="s">
        <v>874</v>
      </c>
      <c r="E91" s="32">
        <v>0</v>
      </c>
      <c r="F91" s="1">
        <v>0</v>
      </c>
      <c r="G91" s="34">
        <v>0</v>
      </c>
      <c r="H91" s="17">
        <v>4074</v>
      </c>
      <c r="I91" s="2">
        <v>39584</v>
      </c>
      <c r="J91" s="18">
        <v>9.7162493863524784</v>
      </c>
      <c r="K91" s="4">
        <v>39584</v>
      </c>
      <c r="L91" s="37" t="s">
        <v>844</v>
      </c>
      <c r="N91" s="19" t="e">
        <v>#DIV/0!</v>
      </c>
      <c r="P91" s="20" t="s">
        <v>1329</v>
      </c>
    </row>
    <row r="92" spans="2:16" x14ac:dyDescent="0.35">
      <c r="B92" s="15" t="s">
        <v>837</v>
      </c>
      <c r="C92" s="16" t="s">
        <v>768</v>
      </c>
      <c r="D92" s="16" t="s">
        <v>369</v>
      </c>
      <c r="E92" s="30">
        <v>2741</v>
      </c>
      <c r="F92" s="17">
        <v>25275</v>
      </c>
      <c r="G92" s="34">
        <v>9.2210871944545794</v>
      </c>
      <c r="H92" s="17">
        <v>6411</v>
      </c>
      <c r="I92" s="2">
        <v>64056</v>
      </c>
      <c r="J92" s="18">
        <v>9.9915769770706593</v>
      </c>
      <c r="K92" s="4">
        <v>38781</v>
      </c>
      <c r="L92" s="37"/>
      <c r="N92" s="19">
        <v>1.5343620178041544</v>
      </c>
      <c r="P92" s="20" t="s">
        <v>1283</v>
      </c>
    </row>
    <row r="93" spans="2:16" x14ac:dyDescent="0.35">
      <c r="B93" s="15" t="s">
        <v>837</v>
      </c>
      <c r="C93" s="16" t="s">
        <v>774</v>
      </c>
      <c r="D93" s="16" t="s">
        <v>376</v>
      </c>
      <c r="E93" s="30">
        <v>42863</v>
      </c>
      <c r="F93" s="17">
        <v>577738</v>
      </c>
      <c r="G93" s="34">
        <v>13.478711242796818</v>
      </c>
      <c r="H93" s="17">
        <v>49864</v>
      </c>
      <c r="I93" s="2">
        <v>616462</v>
      </c>
      <c r="J93" s="18">
        <v>12.3628669982352</v>
      </c>
      <c r="K93" s="4">
        <v>38724</v>
      </c>
      <c r="L93" s="37"/>
      <c r="N93" s="19">
        <v>6.7026922238107925E-2</v>
      </c>
      <c r="P93" s="20" t="s">
        <v>1289</v>
      </c>
    </row>
    <row r="94" spans="2:16" x14ac:dyDescent="0.35">
      <c r="B94" s="15" t="s">
        <v>815</v>
      </c>
      <c r="C94" s="16" t="s">
        <v>656</v>
      </c>
      <c r="D94" s="16" t="s">
        <v>891</v>
      </c>
      <c r="E94" s="32">
        <v>0</v>
      </c>
      <c r="F94" s="1">
        <v>0</v>
      </c>
      <c r="G94" s="34">
        <v>0</v>
      </c>
      <c r="H94" s="17">
        <v>3594</v>
      </c>
      <c r="I94" s="2">
        <v>38686</v>
      </c>
      <c r="J94" s="18">
        <v>10.764051196438508</v>
      </c>
      <c r="K94" s="4">
        <v>38686</v>
      </c>
      <c r="L94" s="37" t="s">
        <v>830</v>
      </c>
      <c r="N94" s="19" t="e">
        <v>#DIV/0!</v>
      </c>
      <c r="P94" s="20" t="s">
        <v>1294</v>
      </c>
    </row>
    <row r="95" spans="2:16" x14ac:dyDescent="0.35">
      <c r="B95" s="15" t="s">
        <v>810</v>
      </c>
      <c r="C95" s="16" t="s">
        <v>698</v>
      </c>
      <c r="D95" s="16" t="s">
        <v>146</v>
      </c>
      <c r="E95" s="30">
        <v>370</v>
      </c>
      <c r="F95" s="17">
        <v>14139</v>
      </c>
      <c r="G95" s="34">
        <v>38.213513513513512</v>
      </c>
      <c r="H95" s="17">
        <v>3031</v>
      </c>
      <c r="I95" s="2">
        <v>51994</v>
      </c>
      <c r="J95" s="18">
        <v>17.154074562850543</v>
      </c>
      <c r="K95" s="4">
        <v>37855</v>
      </c>
      <c r="L95" s="37"/>
      <c r="N95" s="19">
        <v>2.6773463469835206</v>
      </c>
      <c r="P95" s="20" t="s">
        <v>1294</v>
      </c>
    </row>
    <row r="96" spans="2:16" x14ac:dyDescent="0.35">
      <c r="B96" s="15" t="s">
        <v>836</v>
      </c>
      <c r="C96" s="16" t="s">
        <v>615</v>
      </c>
      <c r="D96" s="16" t="s">
        <v>205</v>
      </c>
      <c r="E96" s="30">
        <v>0</v>
      </c>
      <c r="F96" s="17">
        <v>0</v>
      </c>
      <c r="G96" s="34">
        <v>0</v>
      </c>
      <c r="H96" s="17">
        <v>2350</v>
      </c>
      <c r="I96" s="2">
        <v>36160</v>
      </c>
      <c r="J96" s="18">
        <v>15.387234042553191</v>
      </c>
      <c r="K96" s="4">
        <v>36160</v>
      </c>
      <c r="L96" s="37" t="s">
        <v>830</v>
      </c>
      <c r="N96" s="19" t="e">
        <v>#DIV/0!</v>
      </c>
      <c r="P96" s="20" t="s">
        <v>1294</v>
      </c>
    </row>
    <row r="97" spans="2:16" x14ac:dyDescent="0.35">
      <c r="B97" s="15" t="s">
        <v>976</v>
      </c>
      <c r="C97" s="16" t="s">
        <v>960</v>
      </c>
      <c r="D97" s="16" t="s">
        <v>961</v>
      </c>
      <c r="E97" s="32">
        <v>0</v>
      </c>
      <c r="F97" s="1">
        <v>0</v>
      </c>
      <c r="G97" s="34">
        <v>0</v>
      </c>
      <c r="H97" s="17">
        <v>3850</v>
      </c>
      <c r="I97" s="2">
        <v>35180</v>
      </c>
      <c r="J97" s="18">
        <v>9.1376623376623378</v>
      </c>
      <c r="K97" s="4">
        <v>35180</v>
      </c>
      <c r="L97" s="37" t="s">
        <v>844</v>
      </c>
      <c r="N97" s="19" t="e">
        <v>#DIV/0!</v>
      </c>
      <c r="P97" s="20" t="s">
        <v>1297</v>
      </c>
    </row>
    <row r="98" spans="2:16" x14ac:dyDescent="0.35">
      <c r="B98" s="15">
        <v>0</v>
      </c>
      <c r="C98" s="16" t="s">
        <v>432</v>
      </c>
      <c r="D98" s="16" t="s">
        <v>69</v>
      </c>
      <c r="E98" s="30">
        <v>8513</v>
      </c>
      <c r="F98" s="17">
        <v>130761</v>
      </c>
      <c r="G98" s="34">
        <v>15.36015505697169</v>
      </c>
      <c r="H98" s="17">
        <v>10568</v>
      </c>
      <c r="I98" s="2">
        <v>165063</v>
      </c>
      <c r="J98" s="18">
        <v>15.619133232399697</v>
      </c>
      <c r="K98" s="4">
        <v>34302</v>
      </c>
      <c r="L98" s="37"/>
      <c r="N98" s="19">
        <v>0.26232592286690987</v>
      </c>
      <c r="P98" s="20" t="s">
        <v>1314</v>
      </c>
    </row>
    <row r="99" spans="2:16" x14ac:dyDescent="0.35">
      <c r="B99" s="15">
        <v>0</v>
      </c>
      <c r="C99" s="16" t="s">
        <v>622</v>
      </c>
      <c r="D99" s="16" t="s">
        <v>184</v>
      </c>
      <c r="E99" s="30">
        <v>312</v>
      </c>
      <c r="F99" s="17">
        <v>4246</v>
      </c>
      <c r="G99" s="34">
        <v>13.608974358974359</v>
      </c>
      <c r="H99" s="17">
        <v>2741</v>
      </c>
      <c r="I99" s="2">
        <v>38074</v>
      </c>
      <c r="J99" s="18">
        <v>13.890550893834368</v>
      </c>
      <c r="K99" s="4">
        <v>33828</v>
      </c>
      <c r="L99" s="37"/>
      <c r="N99" s="19">
        <v>7.9670277908619873</v>
      </c>
      <c r="P99" s="20" t="s">
        <v>1323</v>
      </c>
    </row>
    <row r="100" spans="2:16" x14ac:dyDescent="0.35">
      <c r="B100" s="15" t="s">
        <v>838</v>
      </c>
      <c r="C100" s="16" t="s">
        <v>593</v>
      </c>
      <c r="D100" s="16" t="s">
        <v>298</v>
      </c>
      <c r="E100" s="30">
        <v>0</v>
      </c>
      <c r="F100" s="17">
        <v>0</v>
      </c>
      <c r="G100" s="34">
        <v>0</v>
      </c>
      <c r="H100" s="17">
        <v>4128</v>
      </c>
      <c r="I100" s="2">
        <v>33732</v>
      </c>
      <c r="J100" s="18">
        <v>8.1715116279069768</v>
      </c>
      <c r="K100" s="4">
        <v>33732</v>
      </c>
      <c r="L100" s="37" t="s">
        <v>844</v>
      </c>
      <c r="N100" s="19" t="e">
        <v>#DIV/0!</v>
      </c>
      <c r="P100" s="20" t="s">
        <v>1294</v>
      </c>
    </row>
    <row r="101" spans="2:16" x14ac:dyDescent="0.35">
      <c r="B101" s="15" t="s">
        <v>814</v>
      </c>
      <c r="C101" s="16" t="s">
        <v>685</v>
      </c>
      <c r="D101" s="16" t="s">
        <v>122</v>
      </c>
      <c r="E101" s="30">
        <v>15883</v>
      </c>
      <c r="F101" s="17">
        <v>241496</v>
      </c>
      <c r="G101" s="34">
        <v>15.204684253604484</v>
      </c>
      <c r="H101" s="17">
        <v>17104</v>
      </c>
      <c r="I101" s="2">
        <v>272040</v>
      </c>
      <c r="J101" s="18">
        <v>15.905051449953227</v>
      </c>
      <c r="K101" s="4">
        <v>30544</v>
      </c>
      <c r="L101" s="37"/>
      <c r="N101" s="19">
        <v>0.12647828535462285</v>
      </c>
      <c r="P101" s="20" t="s">
        <v>1330</v>
      </c>
    </row>
    <row r="102" spans="2:16" x14ac:dyDescent="0.35">
      <c r="B102" s="15">
        <v>0</v>
      </c>
      <c r="C102" s="16" t="s">
        <v>393</v>
      </c>
      <c r="D102" s="16" t="s">
        <v>43</v>
      </c>
      <c r="E102" s="30">
        <v>24658</v>
      </c>
      <c r="F102" s="17">
        <v>345268</v>
      </c>
      <c r="G102" s="34">
        <v>14.002271068213156</v>
      </c>
      <c r="H102" s="17">
        <v>17479</v>
      </c>
      <c r="I102" s="2">
        <v>375115</v>
      </c>
      <c r="J102" s="18">
        <v>21.460895932261572</v>
      </c>
      <c r="K102" s="4">
        <v>29847</v>
      </c>
      <c r="L102" s="37"/>
      <c r="N102" s="19">
        <v>8.6445891307621911E-2</v>
      </c>
      <c r="P102" s="20" t="s">
        <v>1060</v>
      </c>
    </row>
    <row r="103" spans="2:16" x14ac:dyDescent="0.35">
      <c r="B103" s="15" t="s">
        <v>822</v>
      </c>
      <c r="C103" s="16" t="s">
        <v>712</v>
      </c>
      <c r="D103" s="16" t="s">
        <v>194</v>
      </c>
      <c r="E103" s="30">
        <v>0</v>
      </c>
      <c r="F103" s="17">
        <v>0</v>
      </c>
      <c r="G103" s="34">
        <v>0</v>
      </c>
      <c r="H103" s="17">
        <v>2232</v>
      </c>
      <c r="I103" s="2">
        <v>29832</v>
      </c>
      <c r="J103" s="18">
        <v>13.365591397849462</v>
      </c>
      <c r="K103" s="4">
        <v>29832</v>
      </c>
      <c r="L103" s="37" t="s">
        <v>830</v>
      </c>
      <c r="N103" s="19" t="e">
        <v>#DIV/0!</v>
      </c>
      <c r="P103" s="20" t="s">
        <v>1331</v>
      </c>
    </row>
    <row r="104" spans="2:16" x14ac:dyDescent="0.35">
      <c r="B104" s="15" t="s">
        <v>822</v>
      </c>
      <c r="C104" s="16" t="s">
        <v>711</v>
      </c>
      <c r="D104" s="16" t="s">
        <v>192</v>
      </c>
      <c r="E104" s="30">
        <v>0</v>
      </c>
      <c r="F104" s="17">
        <v>0</v>
      </c>
      <c r="G104" s="34">
        <v>0</v>
      </c>
      <c r="H104" s="17">
        <v>2248</v>
      </c>
      <c r="I104" s="2">
        <v>29666</v>
      </c>
      <c r="J104" s="18">
        <v>13.196619217081851</v>
      </c>
      <c r="K104" s="4">
        <v>29666</v>
      </c>
      <c r="L104" s="37" t="s">
        <v>830</v>
      </c>
      <c r="N104" s="19" t="e">
        <v>#DIV/0!</v>
      </c>
      <c r="P104" s="20" t="s">
        <v>1288</v>
      </c>
    </row>
    <row r="105" spans="2:16" x14ac:dyDescent="0.35">
      <c r="B105" s="15" t="s">
        <v>976</v>
      </c>
      <c r="C105" s="16" t="s">
        <v>902</v>
      </c>
      <c r="D105" s="16" t="s">
        <v>903</v>
      </c>
      <c r="E105" s="32">
        <v>0</v>
      </c>
      <c r="F105" s="1">
        <v>0</v>
      </c>
      <c r="G105" s="34">
        <v>0</v>
      </c>
      <c r="H105" s="17">
        <v>2404</v>
      </c>
      <c r="I105" s="2">
        <v>29445</v>
      </c>
      <c r="J105" s="18">
        <v>12.248336106489184</v>
      </c>
      <c r="K105" s="4">
        <v>29445</v>
      </c>
      <c r="L105" s="37" t="s">
        <v>844</v>
      </c>
      <c r="N105" s="19" t="e">
        <v>#DIV/0!</v>
      </c>
      <c r="P105" s="20" t="s">
        <v>1300</v>
      </c>
    </row>
    <row r="106" spans="2:16" x14ac:dyDescent="0.35">
      <c r="B106" s="15" t="s">
        <v>815</v>
      </c>
      <c r="C106" s="16" t="s">
        <v>673</v>
      </c>
      <c r="D106" s="16" t="s">
        <v>97</v>
      </c>
      <c r="E106" s="30">
        <v>2237</v>
      </c>
      <c r="F106" s="17">
        <v>29786</v>
      </c>
      <c r="G106" s="34">
        <v>13.315154224407689</v>
      </c>
      <c r="H106" s="17">
        <v>4260</v>
      </c>
      <c r="I106" s="2">
        <v>57359</v>
      </c>
      <c r="J106" s="18">
        <v>13.464553990610328</v>
      </c>
      <c r="K106" s="4">
        <v>27573</v>
      </c>
      <c r="L106" s="37"/>
      <c r="N106" s="19">
        <v>0.92570335056738062</v>
      </c>
      <c r="P106" s="20" t="s">
        <v>1294</v>
      </c>
    </row>
    <row r="107" spans="2:16" x14ac:dyDescent="0.35">
      <c r="B107" s="15" t="s">
        <v>976</v>
      </c>
      <c r="C107" s="16" t="s">
        <v>924</v>
      </c>
      <c r="D107" s="16" t="s">
        <v>925</v>
      </c>
      <c r="E107" s="32">
        <v>0</v>
      </c>
      <c r="F107" s="1">
        <v>0</v>
      </c>
      <c r="G107" s="34">
        <v>0</v>
      </c>
      <c r="H107" s="17">
        <v>1770</v>
      </c>
      <c r="I107" s="2">
        <v>26867</v>
      </c>
      <c r="J107" s="18">
        <v>15.17909604519774</v>
      </c>
      <c r="K107" s="4">
        <v>26867</v>
      </c>
      <c r="L107" s="37" t="s">
        <v>844</v>
      </c>
      <c r="N107" s="19" t="e">
        <v>#DIV/0!</v>
      </c>
      <c r="P107" s="20" t="s">
        <v>1293</v>
      </c>
    </row>
    <row r="108" spans="2:16" x14ac:dyDescent="0.35">
      <c r="B108" s="15">
        <v>0</v>
      </c>
      <c r="C108" s="16" t="s">
        <v>491</v>
      </c>
      <c r="D108" s="16" t="s">
        <v>111</v>
      </c>
      <c r="E108" s="30">
        <v>1391</v>
      </c>
      <c r="F108" s="17">
        <v>33310</v>
      </c>
      <c r="G108" s="34">
        <v>23.946800862688715</v>
      </c>
      <c r="H108" s="17">
        <v>2751</v>
      </c>
      <c r="I108" s="2">
        <v>59922</v>
      </c>
      <c r="J108" s="18">
        <v>21.781897491821155</v>
      </c>
      <c r="K108" s="4">
        <v>26612</v>
      </c>
      <c r="L108" s="37"/>
      <c r="N108" s="19">
        <v>0.79891924347042931</v>
      </c>
      <c r="P108" s="20" t="s">
        <v>1281</v>
      </c>
    </row>
    <row r="109" spans="2:16" x14ac:dyDescent="0.35">
      <c r="B109" s="15" t="s">
        <v>976</v>
      </c>
      <c r="C109" s="16" t="s">
        <v>954</v>
      </c>
      <c r="D109" s="16" t="s">
        <v>955</v>
      </c>
      <c r="E109" s="32">
        <v>0</v>
      </c>
      <c r="F109" s="1">
        <v>0</v>
      </c>
      <c r="G109" s="34">
        <v>0</v>
      </c>
      <c r="H109" s="17">
        <v>2949</v>
      </c>
      <c r="I109" s="2">
        <v>26219</v>
      </c>
      <c r="J109" s="18">
        <v>8.8908104442183795</v>
      </c>
      <c r="K109" s="4">
        <v>26219</v>
      </c>
      <c r="L109" s="37" t="s">
        <v>844</v>
      </c>
      <c r="N109" s="19" t="e">
        <v>#DIV/0!</v>
      </c>
      <c r="P109" s="20" t="s">
        <v>1332</v>
      </c>
    </row>
    <row r="110" spans="2:16" x14ac:dyDescent="0.35">
      <c r="B110" s="15" t="s">
        <v>822</v>
      </c>
      <c r="C110" s="16" t="s">
        <v>651</v>
      </c>
      <c r="D110" s="16" t="s">
        <v>34</v>
      </c>
      <c r="E110" s="30">
        <v>1972</v>
      </c>
      <c r="F110" s="17">
        <v>24969</v>
      </c>
      <c r="G110" s="34">
        <v>12.661764705882353</v>
      </c>
      <c r="H110" s="17">
        <v>4576</v>
      </c>
      <c r="I110" s="2">
        <v>50799</v>
      </c>
      <c r="J110" s="18">
        <v>11.10118006993007</v>
      </c>
      <c r="K110" s="4">
        <v>25830</v>
      </c>
      <c r="L110" s="37"/>
      <c r="N110" s="19">
        <v>1.0344827586206897</v>
      </c>
      <c r="P110" s="20" t="s">
        <v>1294</v>
      </c>
    </row>
    <row r="111" spans="2:16" x14ac:dyDescent="0.35">
      <c r="B111" s="15" t="s">
        <v>813</v>
      </c>
      <c r="C111" s="16" t="s">
        <v>401</v>
      </c>
      <c r="D111" s="16" t="s">
        <v>13</v>
      </c>
      <c r="E111" s="30">
        <v>69111</v>
      </c>
      <c r="F111" s="17">
        <v>537660</v>
      </c>
      <c r="G111" s="34">
        <v>7.7796588097408517</v>
      </c>
      <c r="H111" s="17">
        <v>55360</v>
      </c>
      <c r="I111" s="2">
        <v>562474</v>
      </c>
      <c r="J111" s="18">
        <v>10.160296242774567</v>
      </c>
      <c r="K111" s="4">
        <v>24814</v>
      </c>
      <c r="L111" s="37"/>
      <c r="N111" s="19">
        <v>4.6151843172264999E-2</v>
      </c>
      <c r="P111" s="20" t="s">
        <v>1280</v>
      </c>
    </row>
    <row r="112" spans="2:16" x14ac:dyDescent="0.35">
      <c r="B112" s="15" t="s">
        <v>827</v>
      </c>
      <c r="C112" s="16" t="s">
        <v>455</v>
      </c>
      <c r="D112" s="16" t="s">
        <v>58</v>
      </c>
      <c r="E112" s="30">
        <v>4039</v>
      </c>
      <c r="F112" s="17">
        <v>54471</v>
      </c>
      <c r="G112" s="34">
        <v>13.48625897499381</v>
      </c>
      <c r="H112" s="17">
        <v>4211</v>
      </c>
      <c r="I112" s="2">
        <v>78787</v>
      </c>
      <c r="J112" s="18">
        <v>18.709807646639753</v>
      </c>
      <c r="K112" s="4">
        <v>24316</v>
      </c>
      <c r="L112" s="37"/>
      <c r="N112" s="19">
        <v>0.44640267298195369</v>
      </c>
      <c r="P112" s="20" t="s">
        <v>1280</v>
      </c>
    </row>
    <row r="113" spans="2:16" x14ac:dyDescent="0.35">
      <c r="B113" s="15" t="s">
        <v>822</v>
      </c>
      <c r="C113" s="16" t="s">
        <v>710</v>
      </c>
      <c r="D113" s="16" t="s">
        <v>190</v>
      </c>
      <c r="E113" s="30">
        <v>2152</v>
      </c>
      <c r="F113" s="17">
        <v>35588</v>
      </c>
      <c r="G113" s="34">
        <v>16.53717472118959</v>
      </c>
      <c r="H113" s="17">
        <v>2613</v>
      </c>
      <c r="I113" s="2">
        <v>59308</v>
      </c>
      <c r="J113" s="18">
        <v>22.697282816685803</v>
      </c>
      <c r="K113" s="4">
        <v>23720</v>
      </c>
      <c r="L113" s="37"/>
      <c r="N113" s="19">
        <v>0.66651680341688213</v>
      </c>
      <c r="P113" s="20" t="s">
        <v>1282</v>
      </c>
    </row>
    <row r="114" spans="2:16" x14ac:dyDescent="0.35">
      <c r="B114" s="15" t="s">
        <v>976</v>
      </c>
      <c r="C114" s="16" t="s">
        <v>922</v>
      </c>
      <c r="D114" s="16" t="s">
        <v>923</v>
      </c>
      <c r="E114" s="32">
        <v>0</v>
      </c>
      <c r="F114" s="1">
        <v>0</v>
      </c>
      <c r="G114" s="34">
        <v>0</v>
      </c>
      <c r="H114" s="17">
        <v>2283</v>
      </c>
      <c r="I114" s="2">
        <v>23408</v>
      </c>
      <c r="J114" s="18">
        <v>10.25317564607972</v>
      </c>
      <c r="K114" s="4">
        <v>23408</v>
      </c>
      <c r="L114" s="37" t="s">
        <v>844</v>
      </c>
      <c r="N114" s="19" t="e">
        <v>#DIV/0!</v>
      </c>
      <c r="P114" s="20" t="s">
        <v>1310</v>
      </c>
    </row>
    <row r="115" spans="2:16" x14ac:dyDescent="0.35">
      <c r="B115" s="15" t="s">
        <v>840</v>
      </c>
      <c r="C115" s="16" t="s">
        <v>912</v>
      </c>
      <c r="D115" s="16" t="s">
        <v>913</v>
      </c>
      <c r="E115" s="32">
        <v>0</v>
      </c>
      <c r="F115" s="1">
        <v>0</v>
      </c>
      <c r="G115" s="34">
        <v>0</v>
      </c>
      <c r="H115" s="17">
        <v>1826</v>
      </c>
      <c r="I115" s="2">
        <v>22711</v>
      </c>
      <c r="J115" s="18">
        <v>12.437568455640745</v>
      </c>
      <c r="K115" s="4">
        <v>22711</v>
      </c>
      <c r="L115" s="37" t="s">
        <v>844</v>
      </c>
      <c r="N115" s="19" t="e">
        <v>#DIV/0!</v>
      </c>
      <c r="P115" s="20" t="s">
        <v>1331</v>
      </c>
    </row>
    <row r="116" spans="2:16" x14ac:dyDescent="0.35">
      <c r="B116" s="15" t="s">
        <v>838</v>
      </c>
      <c r="C116" s="16" t="s">
        <v>928</v>
      </c>
      <c r="D116" s="16" t="s">
        <v>929</v>
      </c>
      <c r="E116" s="32">
        <v>0</v>
      </c>
      <c r="F116" s="1">
        <v>0</v>
      </c>
      <c r="G116" s="34">
        <v>0</v>
      </c>
      <c r="H116" s="17">
        <v>1692</v>
      </c>
      <c r="I116" s="2">
        <v>22414</v>
      </c>
      <c r="J116" s="18">
        <v>13.247044917257684</v>
      </c>
      <c r="K116" s="4">
        <v>22414</v>
      </c>
      <c r="L116" s="37" t="s">
        <v>844</v>
      </c>
      <c r="N116" s="19" t="e">
        <v>#DIV/0!</v>
      </c>
      <c r="P116" s="20" t="s">
        <v>1328</v>
      </c>
    </row>
    <row r="117" spans="2:16" x14ac:dyDescent="0.35">
      <c r="B117" s="15" t="s">
        <v>976</v>
      </c>
      <c r="C117" s="16" t="s">
        <v>948</v>
      </c>
      <c r="D117" s="16" t="s">
        <v>949</v>
      </c>
      <c r="E117" s="32">
        <v>0</v>
      </c>
      <c r="F117" s="1">
        <v>0</v>
      </c>
      <c r="G117" s="34">
        <v>0</v>
      </c>
      <c r="H117" s="17">
        <v>1882</v>
      </c>
      <c r="I117" s="2">
        <v>22171</v>
      </c>
      <c r="J117" s="18">
        <v>11.780552603613177</v>
      </c>
      <c r="K117" s="4">
        <v>22171</v>
      </c>
      <c r="L117" s="37" t="s">
        <v>844</v>
      </c>
      <c r="N117" s="19" t="e">
        <v>#DIV/0!</v>
      </c>
      <c r="P117" s="20" t="s">
        <v>1300</v>
      </c>
    </row>
    <row r="118" spans="2:16" x14ac:dyDescent="0.35">
      <c r="B118" s="15" t="s">
        <v>841</v>
      </c>
      <c r="C118" s="16" t="s">
        <v>777</v>
      </c>
      <c r="D118" s="16" t="s">
        <v>379</v>
      </c>
      <c r="E118" s="30">
        <v>108</v>
      </c>
      <c r="F118" s="17">
        <v>5822</v>
      </c>
      <c r="G118" s="34">
        <v>53.907407407407405</v>
      </c>
      <c r="H118" s="17">
        <v>926</v>
      </c>
      <c r="I118" s="2">
        <v>26667</v>
      </c>
      <c r="J118" s="18">
        <v>28.79805615550756</v>
      </c>
      <c r="K118" s="4">
        <v>20845</v>
      </c>
      <c r="L118" s="37"/>
      <c r="N118" s="19">
        <v>3.5803847475094468</v>
      </c>
      <c r="P118" s="20" t="s">
        <v>1294</v>
      </c>
    </row>
    <row r="119" spans="2:16" x14ac:dyDescent="0.35">
      <c r="B119" s="15" t="s">
        <v>838</v>
      </c>
      <c r="C119" s="16" t="s">
        <v>914</v>
      </c>
      <c r="D119" s="16" t="s">
        <v>915</v>
      </c>
      <c r="E119" s="32">
        <v>0</v>
      </c>
      <c r="F119" s="1">
        <v>0</v>
      </c>
      <c r="G119" s="34">
        <v>0</v>
      </c>
      <c r="H119" s="17">
        <v>1712</v>
      </c>
      <c r="I119" s="2">
        <v>20812</v>
      </c>
      <c r="J119" s="18">
        <v>12.156542056074766</v>
      </c>
      <c r="K119" s="4">
        <v>20812</v>
      </c>
      <c r="L119" s="37" t="s">
        <v>844</v>
      </c>
      <c r="N119" s="19" t="e">
        <v>#DIV/0!</v>
      </c>
      <c r="P119" s="20" t="s">
        <v>1294</v>
      </c>
    </row>
    <row r="120" spans="2:16" x14ac:dyDescent="0.35">
      <c r="B120" s="15" t="s">
        <v>815</v>
      </c>
      <c r="C120" s="16" t="s">
        <v>655</v>
      </c>
      <c r="D120" s="16" t="s">
        <v>42</v>
      </c>
      <c r="E120" s="30">
        <v>34173</v>
      </c>
      <c r="F120" s="17">
        <v>246096</v>
      </c>
      <c r="G120" s="34">
        <v>7.201474848564656</v>
      </c>
      <c r="H120" s="17">
        <v>33508</v>
      </c>
      <c r="I120" s="2">
        <v>266197</v>
      </c>
      <c r="J120" s="18">
        <v>7.9442819625164143</v>
      </c>
      <c r="K120" s="4">
        <v>20101</v>
      </c>
      <c r="L120" s="37"/>
      <c r="N120" s="19">
        <v>8.1679507184188288E-2</v>
      </c>
      <c r="P120" s="20" t="s">
        <v>1300</v>
      </c>
    </row>
    <row r="121" spans="2:16" x14ac:dyDescent="0.35">
      <c r="B121" s="15" t="s">
        <v>976</v>
      </c>
      <c r="C121" s="16" t="s">
        <v>934</v>
      </c>
      <c r="D121" s="16" t="s">
        <v>935</v>
      </c>
      <c r="E121" s="32">
        <v>0</v>
      </c>
      <c r="F121" s="1">
        <v>0</v>
      </c>
      <c r="G121" s="34">
        <v>0</v>
      </c>
      <c r="H121" s="17">
        <v>1209</v>
      </c>
      <c r="I121" s="2">
        <v>19737</v>
      </c>
      <c r="J121" s="18">
        <v>16.325062034739453</v>
      </c>
      <c r="K121" s="4">
        <v>19737</v>
      </c>
      <c r="L121" s="37" t="s">
        <v>844</v>
      </c>
      <c r="N121" s="19" t="e">
        <v>#DIV/0!</v>
      </c>
      <c r="P121" s="20" t="s">
        <v>1329</v>
      </c>
    </row>
    <row r="122" spans="2:16" x14ac:dyDescent="0.35">
      <c r="B122" s="15" t="s">
        <v>822</v>
      </c>
      <c r="C122" s="16" t="s">
        <v>705</v>
      </c>
      <c r="D122" s="16" t="s">
        <v>166</v>
      </c>
      <c r="E122" s="30">
        <v>0</v>
      </c>
      <c r="F122" s="17">
        <v>0</v>
      </c>
      <c r="G122" s="34">
        <v>0</v>
      </c>
      <c r="H122" s="17">
        <v>1884</v>
      </c>
      <c r="I122" s="2">
        <v>19229</v>
      </c>
      <c r="J122" s="18">
        <v>10.206475583864119</v>
      </c>
      <c r="K122" s="4">
        <v>19229</v>
      </c>
      <c r="L122" s="37" t="s">
        <v>830</v>
      </c>
      <c r="N122" s="19" t="e">
        <v>#DIV/0!</v>
      </c>
      <c r="P122" s="20" t="s">
        <v>1333</v>
      </c>
    </row>
    <row r="123" spans="2:16" x14ac:dyDescent="0.35">
      <c r="B123" s="15" t="s">
        <v>812</v>
      </c>
      <c r="C123" s="16" t="s">
        <v>468</v>
      </c>
      <c r="D123" s="16" t="s">
        <v>54</v>
      </c>
      <c r="E123" s="30">
        <v>29525</v>
      </c>
      <c r="F123" s="17">
        <v>534033</v>
      </c>
      <c r="G123" s="34">
        <v>18.087485182049111</v>
      </c>
      <c r="H123" s="17">
        <v>26367</v>
      </c>
      <c r="I123" s="2">
        <v>552294</v>
      </c>
      <c r="J123" s="18">
        <v>20.946410285584253</v>
      </c>
      <c r="K123" s="4">
        <v>18261</v>
      </c>
      <c r="L123" s="37"/>
      <c r="N123" s="19">
        <v>3.4194516069231677E-2</v>
      </c>
      <c r="P123" s="20" t="s">
        <v>1286</v>
      </c>
    </row>
    <row r="124" spans="2:16" x14ac:dyDescent="0.35">
      <c r="B124" s="15" t="s">
        <v>834</v>
      </c>
      <c r="C124" s="16" t="s">
        <v>519</v>
      </c>
      <c r="D124" s="16" t="s">
        <v>196</v>
      </c>
      <c r="E124" s="30">
        <v>0</v>
      </c>
      <c r="F124" s="17">
        <v>1416</v>
      </c>
      <c r="G124" s="34">
        <v>0</v>
      </c>
      <c r="H124" s="17">
        <v>1816</v>
      </c>
      <c r="I124" s="2">
        <v>18524</v>
      </c>
      <c r="J124" s="18">
        <v>10.200440528634362</v>
      </c>
      <c r="K124" s="4">
        <v>17108</v>
      </c>
      <c r="L124" s="37" t="s">
        <v>830</v>
      </c>
      <c r="N124" s="19">
        <v>12.081920903954803</v>
      </c>
      <c r="P124" s="20" t="s">
        <v>1321</v>
      </c>
    </row>
    <row r="125" spans="2:16" x14ac:dyDescent="0.35">
      <c r="B125" s="15" t="s">
        <v>821</v>
      </c>
      <c r="C125" s="16" t="s">
        <v>634</v>
      </c>
      <c r="D125" s="16" t="s">
        <v>94</v>
      </c>
      <c r="E125" s="30">
        <v>9498</v>
      </c>
      <c r="F125" s="17">
        <v>96466</v>
      </c>
      <c r="G125" s="34">
        <v>10.15645399031375</v>
      </c>
      <c r="H125" s="17">
        <v>12880</v>
      </c>
      <c r="I125" s="2">
        <v>113391</v>
      </c>
      <c r="J125" s="18">
        <v>8.8036490683229811</v>
      </c>
      <c r="K125" s="4">
        <v>16925</v>
      </c>
      <c r="L125" s="37"/>
      <c r="N125" s="19">
        <v>0.17545041776377168</v>
      </c>
      <c r="P125" s="20" t="s">
        <v>1321</v>
      </c>
    </row>
    <row r="126" spans="2:16" x14ac:dyDescent="0.35">
      <c r="B126" s="15" t="s">
        <v>974</v>
      </c>
      <c r="C126" s="16" t="s">
        <v>875</v>
      </c>
      <c r="D126" s="16" t="s">
        <v>876</v>
      </c>
      <c r="E126" s="32">
        <v>0</v>
      </c>
      <c r="F126" s="1">
        <v>0</v>
      </c>
      <c r="G126" s="34">
        <v>0</v>
      </c>
      <c r="H126" s="17">
        <v>1436</v>
      </c>
      <c r="I126" s="2">
        <v>16924</v>
      </c>
      <c r="J126" s="18">
        <v>11.785515320334262</v>
      </c>
      <c r="K126" s="4">
        <v>16924</v>
      </c>
      <c r="L126" s="37" t="s">
        <v>844</v>
      </c>
      <c r="N126" s="19" t="e">
        <v>#DIV/0!</v>
      </c>
      <c r="P126" s="20" t="s">
        <v>1332</v>
      </c>
    </row>
    <row r="127" spans="2:16" x14ac:dyDescent="0.35">
      <c r="B127" s="15" t="s">
        <v>976</v>
      </c>
      <c r="C127" s="16" t="s">
        <v>879</v>
      </c>
      <c r="D127" s="16" t="s">
        <v>880</v>
      </c>
      <c r="E127" s="32">
        <v>0</v>
      </c>
      <c r="F127" s="1">
        <v>0</v>
      </c>
      <c r="G127" s="34">
        <v>0</v>
      </c>
      <c r="H127" s="17">
        <v>704</v>
      </c>
      <c r="I127" s="2">
        <v>16486</v>
      </c>
      <c r="J127" s="18">
        <v>23.417613636363637</v>
      </c>
      <c r="K127" s="4">
        <v>16486</v>
      </c>
      <c r="L127" s="37" t="s">
        <v>844</v>
      </c>
      <c r="N127" s="19" t="e">
        <v>#DIV/0!</v>
      </c>
      <c r="P127" s="20" t="s">
        <v>1301</v>
      </c>
    </row>
    <row r="128" spans="2:16" x14ac:dyDescent="0.35">
      <c r="B128" s="15" t="s">
        <v>810</v>
      </c>
      <c r="C128" s="16" t="s">
        <v>702</v>
      </c>
      <c r="D128" s="16" t="s">
        <v>159</v>
      </c>
      <c r="E128" s="30">
        <v>1303</v>
      </c>
      <c r="F128" s="17">
        <v>22405</v>
      </c>
      <c r="G128" s="34">
        <v>17.194934765924788</v>
      </c>
      <c r="H128" s="17">
        <v>2643</v>
      </c>
      <c r="I128" s="2">
        <v>37361</v>
      </c>
      <c r="J128" s="18">
        <v>14.135830495648884</v>
      </c>
      <c r="K128" s="4">
        <v>14956</v>
      </c>
      <c r="L128" s="37"/>
      <c r="N128" s="19">
        <v>0.66752956929256857</v>
      </c>
      <c r="P128" s="20" t="s">
        <v>1300</v>
      </c>
    </row>
    <row r="129" spans="2:16" x14ac:dyDescent="0.35">
      <c r="B129" s="15" t="s">
        <v>838</v>
      </c>
      <c r="C129" s="16" t="s">
        <v>887</v>
      </c>
      <c r="D129" s="16" t="s">
        <v>888</v>
      </c>
      <c r="E129" s="32">
        <v>0</v>
      </c>
      <c r="F129" s="1">
        <v>0</v>
      </c>
      <c r="G129" s="34">
        <v>0</v>
      </c>
      <c r="H129" s="17">
        <v>1577</v>
      </c>
      <c r="I129" s="2">
        <v>14340</v>
      </c>
      <c r="J129" s="18">
        <v>9.0932149651236518</v>
      </c>
      <c r="K129" s="4">
        <v>14340</v>
      </c>
      <c r="L129" s="37" t="s">
        <v>844</v>
      </c>
      <c r="N129" s="19" t="e">
        <v>#DIV/0!</v>
      </c>
      <c r="P129" s="20" t="s">
        <v>1309</v>
      </c>
    </row>
    <row r="130" spans="2:16" x14ac:dyDescent="0.35">
      <c r="B130" s="15" t="e">
        <v>#N/A</v>
      </c>
      <c r="C130" s="16" t="e">
        <v>#N/A</v>
      </c>
      <c r="D130" s="16" t="s">
        <v>968</v>
      </c>
      <c r="E130" s="32">
        <v>0</v>
      </c>
      <c r="F130" s="1">
        <v>0</v>
      </c>
      <c r="G130" s="34">
        <v>0</v>
      </c>
      <c r="H130" s="17">
        <v>1153</v>
      </c>
      <c r="I130" s="2">
        <v>14127</v>
      </c>
      <c r="J130" s="18">
        <v>12.252385082393756</v>
      </c>
      <c r="K130" s="4">
        <v>14127</v>
      </c>
      <c r="L130" s="37" t="s">
        <v>830</v>
      </c>
      <c r="N130" s="19" t="e">
        <v>#DIV/0!</v>
      </c>
      <c r="P130" s="20" t="e">
        <v>#N/A</v>
      </c>
    </row>
    <row r="131" spans="2:16" x14ac:dyDescent="0.35">
      <c r="B131" s="15" t="s">
        <v>976</v>
      </c>
      <c r="C131" s="16" t="s">
        <v>892</v>
      </c>
      <c r="D131" s="16" t="s">
        <v>893</v>
      </c>
      <c r="E131" s="32">
        <v>0</v>
      </c>
      <c r="F131" s="1">
        <v>0</v>
      </c>
      <c r="G131" s="34">
        <v>0</v>
      </c>
      <c r="H131" s="17">
        <v>1327</v>
      </c>
      <c r="I131" s="2">
        <v>13402</v>
      </c>
      <c r="J131" s="18">
        <v>10.099472494348154</v>
      </c>
      <c r="K131" s="4">
        <v>13402</v>
      </c>
      <c r="L131" s="37" t="s">
        <v>844</v>
      </c>
      <c r="N131" s="19" t="e">
        <v>#DIV/0!</v>
      </c>
      <c r="P131" s="20" t="s">
        <v>1327</v>
      </c>
    </row>
    <row r="132" spans="2:16" x14ac:dyDescent="0.35">
      <c r="B132" s="15" t="s">
        <v>837</v>
      </c>
      <c r="C132" s="16" t="s">
        <v>747</v>
      </c>
      <c r="D132" s="16" t="s">
        <v>348</v>
      </c>
      <c r="E132" s="30">
        <v>130</v>
      </c>
      <c r="F132" s="17">
        <v>1192</v>
      </c>
      <c r="G132" s="34">
        <v>9.1692307692307686</v>
      </c>
      <c r="H132" s="17">
        <v>1307</v>
      </c>
      <c r="I132" s="2">
        <v>14587</v>
      </c>
      <c r="J132" s="18">
        <v>11.160673297628156</v>
      </c>
      <c r="K132" s="4">
        <v>13395</v>
      </c>
      <c r="L132" s="37"/>
      <c r="N132" s="19">
        <v>11.23741610738255</v>
      </c>
      <c r="P132" s="20" t="s">
        <v>1311</v>
      </c>
    </row>
    <row r="133" spans="2:16" x14ac:dyDescent="0.35">
      <c r="B133" s="15" t="s">
        <v>835</v>
      </c>
      <c r="C133" s="16" t="s">
        <v>530</v>
      </c>
      <c r="D133" s="16" t="s">
        <v>345</v>
      </c>
      <c r="E133" s="30">
        <v>1995</v>
      </c>
      <c r="F133" s="17">
        <v>23964</v>
      </c>
      <c r="G133" s="34">
        <v>12.012030075187971</v>
      </c>
      <c r="H133" s="17">
        <v>3068</v>
      </c>
      <c r="I133" s="2">
        <v>36944</v>
      </c>
      <c r="J133" s="18">
        <v>12.041720990873534</v>
      </c>
      <c r="K133" s="4">
        <v>12980</v>
      </c>
      <c r="L133" s="37"/>
      <c r="N133" s="19">
        <v>0.5416458020363879</v>
      </c>
      <c r="P133" s="20" t="s">
        <v>1062</v>
      </c>
    </row>
    <row r="134" spans="2:16" x14ac:dyDescent="0.35">
      <c r="B134" s="15" t="s">
        <v>973</v>
      </c>
      <c r="C134" s="16" t="s">
        <v>863</v>
      </c>
      <c r="D134" s="16" t="s">
        <v>864</v>
      </c>
      <c r="E134" s="31">
        <v>0</v>
      </c>
      <c r="F134" s="21">
        <v>0</v>
      </c>
      <c r="G134" s="34">
        <v>0</v>
      </c>
      <c r="H134" s="17">
        <v>1284</v>
      </c>
      <c r="I134" s="2">
        <v>12611</v>
      </c>
      <c r="J134" s="18">
        <v>9.8216510903426784</v>
      </c>
      <c r="K134" s="4">
        <v>12611</v>
      </c>
      <c r="L134" s="37" t="s">
        <v>844</v>
      </c>
      <c r="N134" s="19" t="e">
        <v>#DIV/0!</v>
      </c>
      <c r="P134" s="20" t="s">
        <v>1297</v>
      </c>
    </row>
    <row r="135" spans="2:16" x14ac:dyDescent="0.35">
      <c r="B135" s="15" t="s">
        <v>838</v>
      </c>
      <c r="C135" s="16" t="s">
        <v>908</v>
      </c>
      <c r="D135" s="16" t="s">
        <v>909</v>
      </c>
      <c r="E135" s="32">
        <v>0</v>
      </c>
      <c r="F135" s="1">
        <v>0</v>
      </c>
      <c r="G135" s="34">
        <v>0</v>
      </c>
      <c r="H135" s="17">
        <v>1157</v>
      </c>
      <c r="I135" s="2">
        <v>12562</v>
      </c>
      <c r="J135" s="18">
        <v>10.857389801210026</v>
      </c>
      <c r="K135" s="4">
        <v>12562</v>
      </c>
      <c r="L135" s="37" t="s">
        <v>844</v>
      </c>
      <c r="N135" s="19" t="e">
        <v>#DIV/0!</v>
      </c>
      <c r="P135" s="20" t="s">
        <v>1282</v>
      </c>
    </row>
    <row r="136" spans="2:16" x14ac:dyDescent="0.35">
      <c r="B136" s="15" t="s">
        <v>841</v>
      </c>
      <c r="C136" s="16" t="s">
        <v>761</v>
      </c>
      <c r="D136" s="16" t="s">
        <v>362</v>
      </c>
      <c r="E136" s="30">
        <v>1874</v>
      </c>
      <c r="F136" s="17">
        <v>54572</v>
      </c>
      <c r="G136" s="34">
        <v>29.120597652081109</v>
      </c>
      <c r="H136" s="17">
        <v>2139</v>
      </c>
      <c r="I136" s="2">
        <v>66980</v>
      </c>
      <c r="J136" s="18">
        <v>31.313697989714822</v>
      </c>
      <c r="K136" s="4">
        <v>12408</v>
      </c>
      <c r="L136" s="37"/>
      <c r="N136" s="19">
        <v>0.22736934691783331</v>
      </c>
      <c r="P136" s="20" t="s">
        <v>1312</v>
      </c>
    </row>
    <row r="137" spans="2:16" x14ac:dyDescent="0.35">
      <c r="B137" s="15" t="s">
        <v>819</v>
      </c>
      <c r="C137" s="16" t="s">
        <v>699</v>
      </c>
      <c r="D137" s="16" t="s">
        <v>147</v>
      </c>
      <c r="E137" s="30">
        <v>2025</v>
      </c>
      <c r="F137" s="17">
        <v>35114</v>
      </c>
      <c r="G137" s="34">
        <v>17.340246913580248</v>
      </c>
      <c r="H137" s="17">
        <v>3416</v>
      </c>
      <c r="I137" s="2">
        <v>46960</v>
      </c>
      <c r="J137" s="18">
        <v>13.747072599531617</v>
      </c>
      <c r="K137" s="4">
        <v>11846</v>
      </c>
      <c r="L137" s="37"/>
      <c r="N137" s="19">
        <v>0.33735831861935411</v>
      </c>
      <c r="P137" s="20" t="s">
        <v>1300</v>
      </c>
    </row>
    <row r="138" spans="2:16" x14ac:dyDescent="0.35">
      <c r="B138" s="15" t="s">
        <v>976</v>
      </c>
      <c r="C138" s="16" t="s">
        <v>885</v>
      </c>
      <c r="D138" s="16" t="s">
        <v>886</v>
      </c>
      <c r="E138" s="32">
        <v>0</v>
      </c>
      <c r="F138" s="1">
        <v>0</v>
      </c>
      <c r="G138" s="34">
        <v>0</v>
      </c>
      <c r="H138" s="17">
        <v>917</v>
      </c>
      <c r="I138" s="2">
        <v>10486</v>
      </c>
      <c r="J138" s="18">
        <v>11.435114503816793</v>
      </c>
      <c r="K138" s="4">
        <v>10486</v>
      </c>
      <c r="L138" s="37" t="s">
        <v>844</v>
      </c>
      <c r="N138" s="19" t="e">
        <v>#DIV/0!</v>
      </c>
      <c r="P138" s="20" t="s">
        <v>1328</v>
      </c>
    </row>
    <row r="139" spans="2:16" x14ac:dyDescent="0.35">
      <c r="B139" s="15">
        <v>0</v>
      </c>
      <c r="C139" s="16" t="s">
        <v>452</v>
      </c>
      <c r="D139" s="16" t="s">
        <v>189</v>
      </c>
      <c r="E139" s="30">
        <v>110</v>
      </c>
      <c r="F139" s="17">
        <v>1400</v>
      </c>
      <c r="G139" s="34">
        <v>12.727272727272727</v>
      </c>
      <c r="H139" s="17">
        <v>925</v>
      </c>
      <c r="I139" s="2">
        <v>11656</v>
      </c>
      <c r="J139" s="18">
        <v>12.60108108108108</v>
      </c>
      <c r="K139" s="4">
        <v>10256</v>
      </c>
      <c r="L139" s="37"/>
      <c r="N139" s="19">
        <v>7.3257142857142856</v>
      </c>
      <c r="P139" s="20" t="s">
        <v>1321</v>
      </c>
    </row>
    <row r="140" spans="2:16" x14ac:dyDescent="0.35">
      <c r="B140" s="15" t="s">
        <v>840</v>
      </c>
      <c r="C140" s="16" t="s">
        <v>926</v>
      </c>
      <c r="D140" s="16" t="s">
        <v>927</v>
      </c>
      <c r="E140" s="32">
        <v>0</v>
      </c>
      <c r="F140" s="1">
        <v>0</v>
      </c>
      <c r="G140" s="34">
        <v>0</v>
      </c>
      <c r="H140" s="17">
        <v>905</v>
      </c>
      <c r="I140" s="2">
        <v>10174</v>
      </c>
      <c r="J140" s="18">
        <v>11.241988950276243</v>
      </c>
      <c r="K140" s="4">
        <v>10174</v>
      </c>
      <c r="L140" s="37" t="s">
        <v>844</v>
      </c>
      <c r="N140" s="19" t="e">
        <v>#DIV/0!</v>
      </c>
      <c r="P140" s="20" t="s">
        <v>1299</v>
      </c>
    </row>
    <row r="141" spans="2:16" x14ac:dyDescent="0.35">
      <c r="B141" s="15" t="s">
        <v>974</v>
      </c>
      <c r="C141" s="16" t="s">
        <v>865</v>
      </c>
      <c r="D141" s="16" t="s">
        <v>866</v>
      </c>
      <c r="E141" s="32">
        <v>0</v>
      </c>
      <c r="F141" s="1">
        <v>0</v>
      </c>
      <c r="G141" s="34">
        <v>0</v>
      </c>
      <c r="H141" s="17">
        <v>614</v>
      </c>
      <c r="I141" s="2">
        <v>10046</v>
      </c>
      <c r="J141" s="18">
        <v>16.361563517915311</v>
      </c>
      <c r="K141" s="4">
        <v>10046</v>
      </c>
      <c r="L141" s="37" t="s">
        <v>844</v>
      </c>
      <c r="N141" s="19" t="e">
        <v>#DIV/0!</v>
      </c>
      <c r="P141" s="20" t="s">
        <v>1327</v>
      </c>
    </row>
    <row r="142" spans="2:16" x14ac:dyDescent="0.35">
      <c r="B142" s="15" t="s">
        <v>838</v>
      </c>
      <c r="C142" s="16" t="s">
        <v>958</v>
      </c>
      <c r="D142" s="16" t="s">
        <v>959</v>
      </c>
      <c r="E142" s="32">
        <v>0</v>
      </c>
      <c r="F142" s="1">
        <v>0</v>
      </c>
      <c r="G142" s="34">
        <v>0</v>
      </c>
      <c r="H142" s="17">
        <v>498</v>
      </c>
      <c r="I142" s="2">
        <v>9159</v>
      </c>
      <c r="J142" s="18">
        <v>18.391566265060241</v>
      </c>
      <c r="K142" s="4">
        <v>9159</v>
      </c>
      <c r="L142" s="37" t="s">
        <v>844</v>
      </c>
      <c r="N142" s="19" t="e">
        <v>#DIV/0!</v>
      </c>
      <c r="P142" s="20" t="s">
        <v>1329</v>
      </c>
    </row>
    <row r="143" spans="2:16" x14ac:dyDescent="0.35">
      <c r="B143" s="15" t="s">
        <v>837</v>
      </c>
      <c r="C143" s="16" t="s">
        <v>780</v>
      </c>
      <c r="D143" s="16" t="s">
        <v>383</v>
      </c>
      <c r="E143" s="30">
        <v>20</v>
      </c>
      <c r="F143" s="17">
        <v>455</v>
      </c>
      <c r="G143" s="34">
        <v>22.75</v>
      </c>
      <c r="H143" s="17">
        <v>576</v>
      </c>
      <c r="I143" s="2">
        <v>9341</v>
      </c>
      <c r="J143" s="18">
        <v>16.217013888888889</v>
      </c>
      <c r="K143" s="4">
        <v>8886</v>
      </c>
      <c r="L143" s="37"/>
      <c r="N143" s="19">
        <v>19.529670329670331</v>
      </c>
      <c r="P143" s="20" t="s">
        <v>1297</v>
      </c>
    </row>
    <row r="144" spans="2:16" x14ac:dyDescent="0.35">
      <c r="B144" s="15">
        <v>0</v>
      </c>
      <c r="C144" s="16" t="s">
        <v>693</v>
      </c>
      <c r="D144" s="16" t="s">
        <v>135</v>
      </c>
      <c r="E144" s="30">
        <v>0</v>
      </c>
      <c r="F144" s="17">
        <v>0</v>
      </c>
      <c r="G144" s="34">
        <v>0</v>
      </c>
      <c r="H144" s="17">
        <v>652</v>
      </c>
      <c r="I144" s="2">
        <v>8745</v>
      </c>
      <c r="J144" s="18">
        <v>13.412576687116564</v>
      </c>
      <c r="K144" s="4">
        <v>8745</v>
      </c>
      <c r="L144" s="37" t="s">
        <v>830</v>
      </c>
      <c r="N144" s="19" t="e">
        <v>#DIV/0!</v>
      </c>
      <c r="P144" s="20" t="s">
        <v>1289</v>
      </c>
    </row>
    <row r="145" spans="2:16" x14ac:dyDescent="0.35">
      <c r="B145" s="15" t="s">
        <v>815</v>
      </c>
      <c r="C145" s="16" t="s">
        <v>709</v>
      </c>
      <c r="D145" s="16" t="s">
        <v>180</v>
      </c>
      <c r="E145" s="30">
        <v>106</v>
      </c>
      <c r="F145" s="17">
        <v>1199</v>
      </c>
      <c r="G145" s="34">
        <v>11.311320754716981</v>
      </c>
      <c r="H145" s="17">
        <v>1206</v>
      </c>
      <c r="I145" s="2">
        <v>9884</v>
      </c>
      <c r="J145" s="18">
        <v>8.1956882255389711</v>
      </c>
      <c r="K145" s="4">
        <v>8685</v>
      </c>
      <c r="L145" s="37"/>
      <c r="N145" s="19">
        <v>7.2435362802335277</v>
      </c>
      <c r="P145" s="20" t="s">
        <v>1323</v>
      </c>
    </row>
    <row r="146" spans="2:16" x14ac:dyDescent="0.35">
      <c r="B146" s="15" t="s">
        <v>834</v>
      </c>
      <c r="C146" s="16" t="s">
        <v>535</v>
      </c>
      <c r="D146" s="16" t="s">
        <v>168</v>
      </c>
      <c r="E146" s="30">
        <v>503</v>
      </c>
      <c r="F146" s="17">
        <v>5017</v>
      </c>
      <c r="G146" s="34">
        <v>9.9741550695825048</v>
      </c>
      <c r="H146" s="17">
        <v>1300</v>
      </c>
      <c r="I146" s="2">
        <v>13008</v>
      </c>
      <c r="J146" s="18">
        <v>10.006153846153847</v>
      </c>
      <c r="K146" s="4">
        <v>7991</v>
      </c>
      <c r="L146" s="37"/>
      <c r="N146" s="19">
        <v>1.5927845325891967</v>
      </c>
      <c r="P146" s="20" t="s">
        <v>1303</v>
      </c>
    </row>
    <row r="147" spans="2:16" x14ac:dyDescent="0.35">
      <c r="B147" s="15" t="s">
        <v>973</v>
      </c>
      <c r="C147" s="16" t="s">
        <v>877</v>
      </c>
      <c r="D147" s="16" t="s">
        <v>878</v>
      </c>
      <c r="E147" s="32">
        <v>0</v>
      </c>
      <c r="F147" s="1">
        <v>0</v>
      </c>
      <c r="G147" s="34">
        <v>0</v>
      </c>
      <c r="H147" s="17">
        <v>650</v>
      </c>
      <c r="I147" s="2">
        <v>7106</v>
      </c>
      <c r="J147" s="18">
        <v>10.932307692307692</v>
      </c>
      <c r="K147" s="4">
        <v>7106</v>
      </c>
      <c r="L147" s="37" t="s">
        <v>844</v>
      </c>
      <c r="N147" s="19" t="e">
        <v>#DIV/0!</v>
      </c>
      <c r="P147" s="20" t="s">
        <v>1301</v>
      </c>
    </row>
    <row r="148" spans="2:16" x14ac:dyDescent="0.35">
      <c r="B148" s="15" t="s">
        <v>977</v>
      </c>
      <c r="C148" s="16" t="s">
        <v>904</v>
      </c>
      <c r="D148" s="16" t="s">
        <v>905</v>
      </c>
      <c r="E148" s="32">
        <v>0</v>
      </c>
      <c r="F148" s="1">
        <v>0</v>
      </c>
      <c r="G148" s="34">
        <v>0</v>
      </c>
      <c r="H148" s="17">
        <v>569</v>
      </c>
      <c r="I148" s="2">
        <v>6604</v>
      </c>
      <c r="J148" s="18">
        <v>11.606326889279437</v>
      </c>
      <c r="K148" s="4">
        <v>6604</v>
      </c>
      <c r="L148" s="37" t="s">
        <v>844</v>
      </c>
      <c r="N148" s="19" t="e">
        <v>#DIV/0!</v>
      </c>
      <c r="P148" s="20" t="s">
        <v>1325</v>
      </c>
    </row>
    <row r="149" spans="2:16" x14ac:dyDescent="0.35">
      <c r="B149" s="15" t="s">
        <v>813</v>
      </c>
      <c r="C149" s="16" t="s">
        <v>484</v>
      </c>
      <c r="D149" s="16" t="s">
        <v>179</v>
      </c>
      <c r="E149" s="30">
        <v>469</v>
      </c>
      <c r="F149" s="17">
        <v>5447</v>
      </c>
      <c r="G149" s="34">
        <v>11.614072494669509</v>
      </c>
      <c r="H149" s="17">
        <v>392</v>
      </c>
      <c r="I149" s="2">
        <v>11069</v>
      </c>
      <c r="J149" s="18">
        <v>28.237244897959183</v>
      </c>
      <c r="K149" s="4">
        <v>5622</v>
      </c>
      <c r="L149" s="37"/>
      <c r="N149" s="19">
        <v>1.0321277767578483</v>
      </c>
      <c r="P149" s="20" t="s">
        <v>1281</v>
      </c>
    </row>
    <row r="150" spans="2:16" x14ac:dyDescent="0.35">
      <c r="B150" s="15">
        <v>0</v>
      </c>
      <c r="C150" s="16" t="s">
        <v>707</v>
      </c>
      <c r="D150" s="16" t="s">
        <v>172</v>
      </c>
      <c r="E150" s="30">
        <v>0</v>
      </c>
      <c r="F150" s="17">
        <v>0</v>
      </c>
      <c r="G150" s="34">
        <v>0</v>
      </c>
      <c r="H150" s="17">
        <v>516</v>
      </c>
      <c r="I150" s="2">
        <v>5136</v>
      </c>
      <c r="J150" s="18">
        <v>9.9534883720930232</v>
      </c>
      <c r="K150" s="4">
        <v>5136</v>
      </c>
      <c r="L150" s="37" t="s">
        <v>830</v>
      </c>
      <c r="N150" s="19" t="e">
        <v>#DIV/0!</v>
      </c>
      <c r="P150" s="20" t="s">
        <v>1297</v>
      </c>
    </row>
    <row r="151" spans="2:16" x14ac:dyDescent="0.35">
      <c r="B151" s="15">
        <v>0</v>
      </c>
      <c r="C151" s="16" t="s">
        <v>597</v>
      </c>
      <c r="D151" s="16" t="s">
        <v>153</v>
      </c>
      <c r="E151" s="30">
        <v>4445</v>
      </c>
      <c r="F151" s="17">
        <v>60667</v>
      </c>
      <c r="G151" s="34">
        <v>13.648368953880764</v>
      </c>
      <c r="H151" s="17">
        <v>5504</v>
      </c>
      <c r="I151" s="2">
        <v>65737</v>
      </c>
      <c r="J151" s="18">
        <v>11.943495639534884</v>
      </c>
      <c r="K151" s="4">
        <v>5070</v>
      </c>
      <c r="L151" s="37"/>
      <c r="N151" s="19">
        <v>8.3570969390278069E-2</v>
      </c>
      <c r="P151" s="20" t="s">
        <v>1062</v>
      </c>
    </row>
    <row r="152" spans="2:16" x14ac:dyDescent="0.35">
      <c r="B152" s="15" t="e">
        <v>#N/A</v>
      </c>
      <c r="C152" s="16" t="e">
        <v>#N/A</v>
      </c>
      <c r="D152" s="16" t="s">
        <v>969</v>
      </c>
      <c r="E152" s="32">
        <v>0</v>
      </c>
      <c r="F152" s="1">
        <v>0</v>
      </c>
      <c r="G152" s="34">
        <v>0</v>
      </c>
      <c r="H152" s="17">
        <v>353</v>
      </c>
      <c r="I152" s="2">
        <v>4302</v>
      </c>
      <c r="J152" s="18">
        <v>12.186968838526912</v>
      </c>
      <c r="K152" s="4">
        <v>4302</v>
      </c>
      <c r="L152" s="37" t="s">
        <v>830</v>
      </c>
      <c r="N152" s="19" t="e">
        <v>#DIV/0!</v>
      </c>
      <c r="P152" s="20" t="e">
        <v>#N/A</v>
      </c>
    </row>
    <row r="153" spans="2:16" x14ac:dyDescent="0.35">
      <c r="B153" s="15" t="s">
        <v>810</v>
      </c>
      <c r="C153" s="16" t="s">
        <v>689</v>
      </c>
      <c r="D153" s="16" t="s">
        <v>129</v>
      </c>
      <c r="E153" s="30">
        <v>0</v>
      </c>
      <c r="F153" s="17">
        <v>0</v>
      </c>
      <c r="G153" s="34">
        <v>0</v>
      </c>
      <c r="H153" s="17">
        <v>390</v>
      </c>
      <c r="I153" s="2">
        <v>4112</v>
      </c>
      <c r="J153" s="18">
        <v>10.543589743589743</v>
      </c>
      <c r="K153" s="4">
        <v>4112</v>
      </c>
      <c r="L153" s="37" t="s">
        <v>830</v>
      </c>
      <c r="N153" s="19" t="e">
        <v>#DIV/0!</v>
      </c>
      <c r="P153" s="20" t="s">
        <v>1294</v>
      </c>
    </row>
    <row r="154" spans="2:16" x14ac:dyDescent="0.35">
      <c r="B154" s="15" t="s">
        <v>824</v>
      </c>
      <c r="C154" s="16" t="s">
        <v>567</v>
      </c>
      <c r="D154" s="16" t="s">
        <v>170</v>
      </c>
      <c r="E154" s="30">
        <v>489</v>
      </c>
      <c r="F154" s="17">
        <v>9604</v>
      </c>
      <c r="G154" s="34">
        <v>19.640081799591002</v>
      </c>
      <c r="H154" s="17">
        <v>696</v>
      </c>
      <c r="I154" s="2">
        <v>13702</v>
      </c>
      <c r="J154" s="18">
        <v>19.686781609195403</v>
      </c>
      <c r="K154" s="4">
        <v>4098</v>
      </c>
      <c r="L154" s="37"/>
      <c r="N154" s="19">
        <v>0.42669720949604334</v>
      </c>
      <c r="P154" s="20" t="s">
        <v>1294</v>
      </c>
    </row>
    <row r="155" spans="2:16" x14ac:dyDescent="0.35">
      <c r="B155" s="15" t="s">
        <v>976</v>
      </c>
      <c r="C155" s="16" t="s">
        <v>869</v>
      </c>
      <c r="D155" s="16" t="s">
        <v>870</v>
      </c>
      <c r="E155" s="32">
        <v>0</v>
      </c>
      <c r="F155" s="1">
        <v>0</v>
      </c>
      <c r="G155" s="34">
        <v>0</v>
      </c>
      <c r="H155" s="17">
        <v>283</v>
      </c>
      <c r="I155" s="2">
        <v>3715</v>
      </c>
      <c r="J155" s="18">
        <v>13.12720848056537</v>
      </c>
      <c r="K155" s="4">
        <v>3715</v>
      </c>
      <c r="L155" s="37" t="s">
        <v>844</v>
      </c>
      <c r="N155" s="19" t="e">
        <v>#DIV/0!</v>
      </c>
      <c r="P155" s="20" t="s">
        <v>1327</v>
      </c>
    </row>
    <row r="156" spans="2:16" x14ac:dyDescent="0.35">
      <c r="B156" s="15" t="s">
        <v>838</v>
      </c>
      <c r="C156" s="16" t="s">
        <v>881</v>
      </c>
      <c r="D156" s="16" t="s">
        <v>882</v>
      </c>
      <c r="E156" s="32">
        <v>0</v>
      </c>
      <c r="F156" s="1">
        <v>0</v>
      </c>
      <c r="G156" s="34">
        <v>0</v>
      </c>
      <c r="H156" s="17">
        <v>290</v>
      </c>
      <c r="I156" s="2">
        <v>3303</v>
      </c>
      <c r="J156" s="18">
        <v>11.389655172413793</v>
      </c>
      <c r="K156" s="4">
        <v>3303</v>
      </c>
      <c r="L156" s="37" t="s">
        <v>844</v>
      </c>
      <c r="N156" s="19" t="e">
        <v>#DIV/0!</v>
      </c>
      <c r="P156" s="20" t="s">
        <v>1293</v>
      </c>
    </row>
    <row r="157" spans="2:16" x14ac:dyDescent="0.35">
      <c r="B157" s="15" t="s">
        <v>977</v>
      </c>
      <c r="C157" s="16" t="s">
        <v>944</v>
      </c>
      <c r="D157" s="16" t="s">
        <v>945</v>
      </c>
      <c r="E157" s="32">
        <v>0</v>
      </c>
      <c r="F157" s="1">
        <v>0</v>
      </c>
      <c r="G157" s="34">
        <v>0</v>
      </c>
      <c r="H157" s="17">
        <v>321</v>
      </c>
      <c r="I157" s="2">
        <v>3278</v>
      </c>
      <c r="J157" s="18">
        <v>10.211838006230529</v>
      </c>
      <c r="K157" s="4">
        <v>3278</v>
      </c>
      <c r="L157" s="37" t="s">
        <v>844</v>
      </c>
      <c r="N157" s="19" t="e">
        <v>#DIV/0!</v>
      </c>
      <c r="P157" s="20" t="s">
        <v>1297</v>
      </c>
    </row>
    <row r="158" spans="2:16" x14ac:dyDescent="0.35">
      <c r="B158" s="15" t="s">
        <v>822</v>
      </c>
      <c r="C158" s="16" t="s">
        <v>667</v>
      </c>
      <c r="D158" s="16" t="s">
        <v>80</v>
      </c>
      <c r="E158" s="30">
        <v>5737</v>
      </c>
      <c r="F158" s="17">
        <v>72041</v>
      </c>
      <c r="G158" s="34">
        <v>12.557259891929579</v>
      </c>
      <c r="H158" s="17">
        <v>6717</v>
      </c>
      <c r="I158" s="2">
        <v>75205</v>
      </c>
      <c r="J158" s="18">
        <v>11.196218549947893</v>
      </c>
      <c r="K158" s="4">
        <v>3164</v>
      </c>
      <c r="L158" s="37"/>
      <c r="N158" s="19">
        <v>4.3919434766313624E-2</v>
      </c>
      <c r="P158" s="20" t="s">
        <v>1282</v>
      </c>
    </row>
    <row r="159" spans="2:16" x14ac:dyDescent="0.35">
      <c r="B159" s="15" t="e">
        <v>#N/A</v>
      </c>
      <c r="C159" s="16" t="e">
        <v>#N/A</v>
      </c>
      <c r="D159" s="16" t="s">
        <v>967</v>
      </c>
      <c r="E159" s="32">
        <v>0</v>
      </c>
      <c r="F159" s="1">
        <v>0</v>
      </c>
      <c r="G159" s="34">
        <v>0</v>
      </c>
      <c r="H159" s="17">
        <v>246</v>
      </c>
      <c r="I159" s="2">
        <v>3089</v>
      </c>
      <c r="J159" s="18">
        <v>12.556910569105691</v>
      </c>
      <c r="K159" s="4">
        <v>3089</v>
      </c>
      <c r="L159" s="37" t="s">
        <v>830</v>
      </c>
      <c r="N159" s="19" t="e">
        <v>#DIV/0!</v>
      </c>
      <c r="P159" s="20" t="e">
        <v>#N/A</v>
      </c>
    </row>
    <row r="160" spans="2:16" x14ac:dyDescent="0.35">
      <c r="B160" s="15" t="s">
        <v>837</v>
      </c>
      <c r="C160" s="16" t="s">
        <v>762</v>
      </c>
      <c r="D160" s="16" t="s">
        <v>363</v>
      </c>
      <c r="E160" s="30">
        <v>272</v>
      </c>
      <c r="F160" s="17">
        <v>2818</v>
      </c>
      <c r="G160" s="34">
        <v>10.360294117647058</v>
      </c>
      <c r="H160" s="17">
        <v>491</v>
      </c>
      <c r="I160" s="2">
        <v>5751</v>
      </c>
      <c r="J160" s="18">
        <v>11.712830957230143</v>
      </c>
      <c r="K160" s="4">
        <v>2933</v>
      </c>
      <c r="L160" s="37"/>
      <c r="N160" s="19">
        <v>1.0408090844570617</v>
      </c>
      <c r="P160" s="20" t="s">
        <v>1282</v>
      </c>
    </row>
    <row r="161" spans="2:16" x14ac:dyDescent="0.35">
      <c r="B161" s="15" t="s">
        <v>834</v>
      </c>
      <c r="C161" s="16" t="s">
        <v>531</v>
      </c>
      <c r="D161" s="16" t="s">
        <v>187</v>
      </c>
      <c r="E161" s="30">
        <v>0</v>
      </c>
      <c r="F161" s="17">
        <v>0</v>
      </c>
      <c r="G161" s="34">
        <v>0</v>
      </c>
      <c r="H161" s="17">
        <v>134</v>
      </c>
      <c r="I161" s="2">
        <v>2558</v>
      </c>
      <c r="J161" s="18">
        <v>19.089552238805972</v>
      </c>
      <c r="K161" s="4">
        <v>2558</v>
      </c>
      <c r="L161" s="37" t="s">
        <v>830</v>
      </c>
      <c r="N161" s="19" t="e">
        <v>#DIV/0!</v>
      </c>
      <c r="P161" s="20" t="s">
        <v>1293</v>
      </c>
    </row>
    <row r="162" spans="2:16" x14ac:dyDescent="0.35">
      <c r="B162" s="15">
        <v>0</v>
      </c>
      <c r="C162" s="16" t="s">
        <v>524</v>
      </c>
      <c r="D162" s="16" t="s">
        <v>158</v>
      </c>
      <c r="E162" s="30">
        <v>1254</v>
      </c>
      <c r="F162" s="17">
        <v>19898</v>
      </c>
      <c r="G162" s="34">
        <v>15.86762360446571</v>
      </c>
      <c r="H162" s="17">
        <v>1926</v>
      </c>
      <c r="I162" s="2">
        <v>22354</v>
      </c>
      <c r="J162" s="18">
        <v>11.606438213914849</v>
      </c>
      <c r="K162" s="4">
        <v>2456</v>
      </c>
      <c r="L162" s="37"/>
      <c r="N162" s="19">
        <v>0.12342949040104532</v>
      </c>
      <c r="P162" s="20" t="s">
        <v>1294</v>
      </c>
    </row>
    <row r="163" spans="2:16" x14ac:dyDescent="0.35">
      <c r="B163" s="15" t="s">
        <v>975</v>
      </c>
      <c r="C163" s="16" t="s">
        <v>867</v>
      </c>
      <c r="D163" s="16" t="s">
        <v>868</v>
      </c>
      <c r="E163" s="32">
        <v>0</v>
      </c>
      <c r="F163" s="1">
        <v>0</v>
      </c>
      <c r="G163" s="34">
        <v>0</v>
      </c>
      <c r="H163" s="17">
        <v>105</v>
      </c>
      <c r="I163" s="2">
        <v>2181</v>
      </c>
      <c r="J163" s="18">
        <v>20.771428571428572</v>
      </c>
      <c r="K163" s="4">
        <v>2181</v>
      </c>
      <c r="L163" s="37" t="s">
        <v>844</v>
      </c>
      <c r="N163" s="19" t="e">
        <v>#DIV/0!</v>
      </c>
      <c r="P163" s="20" t="s">
        <v>1329</v>
      </c>
    </row>
    <row r="164" spans="2:16" x14ac:dyDescent="0.35">
      <c r="B164" s="15">
        <v>0</v>
      </c>
      <c r="C164" s="16" t="s">
        <v>437</v>
      </c>
      <c r="D164" s="16" t="s">
        <v>181</v>
      </c>
      <c r="E164" s="30">
        <v>24</v>
      </c>
      <c r="F164" s="17">
        <v>361</v>
      </c>
      <c r="G164" s="34">
        <v>15.041666666666666</v>
      </c>
      <c r="H164" s="17">
        <v>169</v>
      </c>
      <c r="I164" s="2">
        <v>2195</v>
      </c>
      <c r="J164" s="18">
        <v>12.988165680473372</v>
      </c>
      <c r="K164" s="4">
        <v>1834</v>
      </c>
      <c r="L164" s="37"/>
      <c r="N164" s="19">
        <v>5.0803324099722991</v>
      </c>
      <c r="P164" s="20" t="s">
        <v>1281</v>
      </c>
    </row>
    <row r="165" spans="2:16" x14ac:dyDescent="0.35">
      <c r="B165" s="15" t="s">
        <v>976</v>
      </c>
      <c r="C165" s="16" t="s">
        <v>883</v>
      </c>
      <c r="D165" s="16" t="s">
        <v>884</v>
      </c>
      <c r="E165" s="32">
        <v>0</v>
      </c>
      <c r="F165" s="1">
        <v>0</v>
      </c>
      <c r="G165" s="34">
        <v>0</v>
      </c>
      <c r="H165" s="17">
        <v>74</v>
      </c>
      <c r="I165" s="2">
        <v>1443</v>
      </c>
      <c r="J165" s="18">
        <v>19.5</v>
      </c>
      <c r="K165" s="4">
        <v>1443</v>
      </c>
      <c r="L165" s="37" t="s">
        <v>844</v>
      </c>
      <c r="N165" s="19" t="e">
        <v>#DIV/0!</v>
      </c>
      <c r="P165" s="20" t="s">
        <v>1329</v>
      </c>
    </row>
    <row r="166" spans="2:16" x14ac:dyDescent="0.35">
      <c r="B166" s="15" t="s">
        <v>972</v>
      </c>
      <c r="C166" s="16" t="s">
        <v>862</v>
      </c>
      <c r="D166" s="16" t="s">
        <v>299</v>
      </c>
      <c r="E166" s="30">
        <v>0</v>
      </c>
      <c r="F166" s="17">
        <v>0</v>
      </c>
      <c r="G166" s="34">
        <v>0</v>
      </c>
      <c r="H166" s="17">
        <v>90</v>
      </c>
      <c r="I166" s="2">
        <v>1370</v>
      </c>
      <c r="J166" s="18">
        <v>15.222222222222221</v>
      </c>
      <c r="K166" s="4">
        <v>1370</v>
      </c>
      <c r="L166" s="37" t="s">
        <v>830</v>
      </c>
      <c r="N166" s="19" t="e">
        <v>#DIV/0!</v>
      </c>
      <c r="P166" s="20" t="s">
        <v>1281</v>
      </c>
    </row>
    <row r="167" spans="2:16" x14ac:dyDescent="0.35">
      <c r="B167" s="15" t="s">
        <v>974</v>
      </c>
      <c r="C167" s="16" t="s">
        <v>956</v>
      </c>
      <c r="D167" s="16" t="s">
        <v>957</v>
      </c>
      <c r="E167" s="32">
        <v>0</v>
      </c>
      <c r="F167" s="1">
        <v>0</v>
      </c>
      <c r="G167" s="34">
        <v>0</v>
      </c>
      <c r="H167" s="17">
        <v>105</v>
      </c>
      <c r="I167" s="2">
        <v>1095</v>
      </c>
      <c r="J167" s="18">
        <v>10.428571428571429</v>
      </c>
      <c r="K167" s="4">
        <v>1095</v>
      </c>
      <c r="L167" s="37" t="s">
        <v>844</v>
      </c>
      <c r="N167" s="19" t="e">
        <v>#DIV/0!</v>
      </c>
      <c r="P167" s="20" t="s">
        <v>1334</v>
      </c>
    </row>
    <row r="168" spans="2:16" x14ac:dyDescent="0.35">
      <c r="B168" s="15" t="e">
        <v>#N/A</v>
      </c>
      <c r="C168" s="16" t="s">
        <v>562</v>
      </c>
      <c r="D168" s="16" t="s">
        <v>164</v>
      </c>
      <c r="E168" s="30">
        <v>0</v>
      </c>
      <c r="F168" s="17">
        <v>0</v>
      </c>
      <c r="G168" s="34">
        <v>0</v>
      </c>
      <c r="H168" s="17">
        <v>0</v>
      </c>
      <c r="I168" s="2">
        <v>1090</v>
      </c>
      <c r="J168" s="18">
        <v>0</v>
      </c>
      <c r="K168" s="4">
        <v>1090</v>
      </c>
      <c r="L168" s="37"/>
      <c r="N168" s="19" t="e">
        <v>#DIV/0!</v>
      </c>
      <c r="P168" s="20" t="e">
        <v>#N/A</v>
      </c>
    </row>
    <row r="169" spans="2:16" x14ac:dyDescent="0.35">
      <c r="B169" s="15" t="s">
        <v>839</v>
      </c>
      <c r="C169" s="16" t="s">
        <v>742</v>
      </c>
      <c r="D169" s="16" t="s">
        <v>342</v>
      </c>
      <c r="E169" s="30">
        <v>315</v>
      </c>
      <c r="F169" s="17">
        <v>4515</v>
      </c>
      <c r="G169" s="34">
        <v>14.333333333333334</v>
      </c>
      <c r="H169" s="17">
        <v>408</v>
      </c>
      <c r="I169" s="2">
        <v>5482</v>
      </c>
      <c r="J169" s="18">
        <v>13.436274509803921</v>
      </c>
      <c r="K169" s="4">
        <v>967</v>
      </c>
      <c r="L169" s="37"/>
      <c r="N169" s="19">
        <v>0.21417497231450719</v>
      </c>
      <c r="P169" s="20" t="s">
        <v>1294</v>
      </c>
    </row>
    <row r="170" spans="2:16" x14ac:dyDescent="0.35">
      <c r="B170" s="15" t="s">
        <v>976</v>
      </c>
      <c r="C170" s="16" t="s">
        <v>938</v>
      </c>
      <c r="D170" s="16" t="s">
        <v>939</v>
      </c>
      <c r="E170" s="32">
        <v>0</v>
      </c>
      <c r="F170" s="1">
        <v>0</v>
      </c>
      <c r="G170" s="34">
        <v>0</v>
      </c>
      <c r="H170" s="17">
        <v>120</v>
      </c>
      <c r="I170" s="2">
        <v>900</v>
      </c>
      <c r="J170" s="18">
        <v>7.5</v>
      </c>
      <c r="K170" s="4">
        <v>900</v>
      </c>
      <c r="L170" s="37" t="s">
        <v>844</v>
      </c>
      <c r="N170" s="19" t="e">
        <v>#DIV/0!</v>
      </c>
      <c r="P170" s="20" t="s">
        <v>1332</v>
      </c>
    </row>
    <row r="171" spans="2:16" x14ac:dyDescent="0.35">
      <c r="B171" s="15" t="s">
        <v>836</v>
      </c>
      <c r="C171" s="16" t="s">
        <v>626</v>
      </c>
      <c r="D171" s="16" t="s">
        <v>318</v>
      </c>
      <c r="E171" s="30">
        <v>0</v>
      </c>
      <c r="F171" s="17">
        <v>0</v>
      </c>
      <c r="G171" s="34">
        <v>0</v>
      </c>
      <c r="H171" s="17">
        <v>28</v>
      </c>
      <c r="I171" s="2">
        <v>809</v>
      </c>
      <c r="J171" s="18">
        <v>28.892857142857142</v>
      </c>
      <c r="K171" s="4">
        <v>809</v>
      </c>
      <c r="L171" s="37" t="s">
        <v>830</v>
      </c>
      <c r="N171" s="19" t="e">
        <v>#DIV/0!</v>
      </c>
      <c r="P171" s="20" t="s">
        <v>1335</v>
      </c>
    </row>
    <row r="172" spans="2:16" x14ac:dyDescent="0.35">
      <c r="B172" s="15" t="e">
        <v>#N/A</v>
      </c>
      <c r="C172" s="16" t="s">
        <v>471</v>
      </c>
      <c r="D172" s="16" t="s">
        <v>96</v>
      </c>
      <c r="E172" s="30">
        <v>4627</v>
      </c>
      <c r="F172" s="17">
        <v>81342</v>
      </c>
      <c r="G172" s="34">
        <v>17.579857358979901</v>
      </c>
      <c r="H172" s="17">
        <v>4332</v>
      </c>
      <c r="I172" s="2">
        <v>82101</v>
      </c>
      <c r="J172" s="18">
        <v>18.952216066481995</v>
      </c>
      <c r="K172" s="4">
        <v>759</v>
      </c>
      <c r="L172" s="37"/>
      <c r="N172" s="19">
        <v>9.3309729291141102E-3</v>
      </c>
      <c r="P172" s="20" t="e">
        <v>#N/A</v>
      </c>
    </row>
    <row r="173" spans="2:16" x14ac:dyDescent="0.35">
      <c r="B173" s="15" t="s">
        <v>976</v>
      </c>
      <c r="C173" s="16" t="s">
        <v>900</v>
      </c>
      <c r="D173" s="16" t="s">
        <v>901</v>
      </c>
      <c r="E173" s="32">
        <v>0</v>
      </c>
      <c r="F173" s="1">
        <v>0</v>
      </c>
      <c r="G173" s="34">
        <v>0</v>
      </c>
      <c r="H173" s="17">
        <v>20</v>
      </c>
      <c r="I173" s="2">
        <v>500</v>
      </c>
      <c r="J173" s="18">
        <v>25</v>
      </c>
      <c r="K173" s="4">
        <v>500</v>
      </c>
      <c r="L173" s="37" t="s">
        <v>844</v>
      </c>
      <c r="N173" s="19" t="e">
        <v>#DIV/0!</v>
      </c>
      <c r="P173" s="20" t="s">
        <v>1329</v>
      </c>
    </row>
    <row r="174" spans="2:16" x14ac:dyDescent="0.35">
      <c r="B174" s="15" t="s">
        <v>838</v>
      </c>
      <c r="C174" s="16" t="s">
        <v>942</v>
      </c>
      <c r="D174" s="16" t="s">
        <v>943</v>
      </c>
      <c r="E174" s="32">
        <v>0</v>
      </c>
      <c r="F174" s="1">
        <v>0</v>
      </c>
      <c r="G174" s="34">
        <v>0</v>
      </c>
      <c r="H174" s="17">
        <v>30</v>
      </c>
      <c r="I174" s="2">
        <v>395</v>
      </c>
      <c r="J174" s="18">
        <v>13.166666666666666</v>
      </c>
      <c r="K174" s="4">
        <v>395</v>
      </c>
      <c r="L174" s="37" t="s">
        <v>844</v>
      </c>
      <c r="N174" s="19" t="e">
        <v>#DIV/0!</v>
      </c>
      <c r="P174" s="20" t="s">
        <v>1310</v>
      </c>
    </row>
    <row r="175" spans="2:16" x14ac:dyDescent="0.35">
      <c r="B175" s="15" t="s">
        <v>822</v>
      </c>
      <c r="C175" s="16" t="s">
        <v>775</v>
      </c>
      <c r="D175" s="16" t="s">
        <v>377</v>
      </c>
      <c r="E175" s="30">
        <v>1396</v>
      </c>
      <c r="F175" s="17">
        <v>15319</v>
      </c>
      <c r="G175" s="34">
        <v>10.973495702005732</v>
      </c>
      <c r="H175" s="17">
        <v>1429</v>
      </c>
      <c r="I175" s="2">
        <v>15332</v>
      </c>
      <c r="J175" s="18">
        <v>10.729181245626313</v>
      </c>
      <c r="K175" s="4">
        <v>13</v>
      </c>
      <c r="L175" s="37"/>
      <c r="N175" s="19">
        <v>8.4861936157712642E-4</v>
      </c>
      <c r="P175" s="20" t="s">
        <v>1062</v>
      </c>
    </row>
    <row r="176" spans="2:16" x14ac:dyDescent="0.35">
      <c r="B176" s="15" t="s">
        <v>837</v>
      </c>
      <c r="C176" s="16" t="s">
        <v>760</v>
      </c>
      <c r="D176" s="16" t="s">
        <v>361</v>
      </c>
      <c r="E176" s="30">
        <v>779</v>
      </c>
      <c r="F176" s="17">
        <v>7641</v>
      </c>
      <c r="G176" s="34">
        <v>9.8087291399229777</v>
      </c>
      <c r="H176" s="17">
        <v>368</v>
      </c>
      <c r="I176" s="2">
        <v>7552</v>
      </c>
      <c r="J176" s="18">
        <v>20.521739130434781</v>
      </c>
      <c r="K176" s="4">
        <v>-89</v>
      </c>
      <c r="L176" s="37"/>
      <c r="N176" s="19">
        <v>-1.1647690092919775E-2</v>
      </c>
      <c r="P176" s="20" t="s">
        <v>1288</v>
      </c>
    </row>
    <row r="177" spans="2:16" x14ac:dyDescent="0.35">
      <c r="B177" s="15" t="e">
        <v>#N/A</v>
      </c>
      <c r="C177" s="16" t="s">
        <v>706</v>
      </c>
      <c r="D177" s="16" t="s">
        <v>171</v>
      </c>
      <c r="E177" s="30">
        <v>0</v>
      </c>
      <c r="F177" s="17">
        <v>169</v>
      </c>
      <c r="G177" s="34">
        <v>0</v>
      </c>
      <c r="H177" s="17">
        <v>0</v>
      </c>
      <c r="I177" s="2">
        <v>0</v>
      </c>
      <c r="J177" s="18">
        <v>0</v>
      </c>
      <c r="K177" s="4">
        <v>-169</v>
      </c>
      <c r="L177" s="37" t="s">
        <v>845</v>
      </c>
      <c r="N177" s="19">
        <v>-1</v>
      </c>
      <c r="P177" s="20" t="e">
        <v>#N/A</v>
      </c>
    </row>
    <row r="178" spans="2:16" x14ac:dyDescent="0.35">
      <c r="B178" s="15" t="s">
        <v>821</v>
      </c>
      <c r="C178" s="16" t="s">
        <v>635</v>
      </c>
      <c r="D178" s="16" t="s">
        <v>125</v>
      </c>
      <c r="E178" s="30">
        <v>1020</v>
      </c>
      <c r="F178" s="17">
        <v>10198</v>
      </c>
      <c r="G178" s="34">
        <v>9.9980392156862745</v>
      </c>
      <c r="H178" s="17">
        <v>1269</v>
      </c>
      <c r="I178" s="2">
        <v>9871</v>
      </c>
      <c r="J178" s="18">
        <v>7.7785657998423954</v>
      </c>
      <c r="K178" s="4">
        <v>-327</v>
      </c>
      <c r="L178" s="37"/>
      <c r="N178" s="19">
        <v>-3.2065110806040402E-2</v>
      </c>
      <c r="P178" s="20" t="s">
        <v>1292</v>
      </c>
    </row>
    <row r="179" spans="2:16" x14ac:dyDescent="0.35">
      <c r="B179" s="15" t="e">
        <v>#N/A</v>
      </c>
      <c r="C179" s="16" t="s">
        <v>769</v>
      </c>
      <c r="D179" s="16" t="s">
        <v>371</v>
      </c>
      <c r="E179" s="30">
        <v>17</v>
      </c>
      <c r="F179" s="17">
        <v>340</v>
      </c>
      <c r="G179" s="34">
        <v>20</v>
      </c>
      <c r="H179" s="17">
        <v>0</v>
      </c>
      <c r="I179" s="2">
        <v>0</v>
      </c>
      <c r="J179" s="18">
        <v>0</v>
      </c>
      <c r="K179" s="4">
        <v>-340</v>
      </c>
      <c r="L179" s="37" t="s">
        <v>845</v>
      </c>
      <c r="N179" s="19">
        <v>-1</v>
      </c>
      <c r="P179" s="20" t="e">
        <v>#N/A</v>
      </c>
    </row>
    <row r="180" spans="2:16" x14ac:dyDescent="0.35">
      <c r="B180" s="15" t="e">
        <v>#N/A</v>
      </c>
      <c r="C180" s="16" t="s">
        <v>587</v>
      </c>
      <c r="D180" s="16" t="s">
        <v>110</v>
      </c>
      <c r="E180" s="30">
        <v>30</v>
      </c>
      <c r="F180" s="17">
        <v>367</v>
      </c>
      <c r="G180" s="34">
        <v>12.233333333333333</v>
      </c>
      <c r="H180" s="17">
        <v>0</v>
      </c>
      <c r="I180" s="2">
        <v>0</v>
      </c>
      <c r="J180" s="18">
        <v>0</v>
      </c>
      <c r="K180" s="4">
        <v>-367</v>
      </c>
      <c r="L180" s="37" t="s">
        <v>845</v>
      </c>
      <c r="N180" s="19">
        <v>-1</v>
      </c>
      <c r="P180" s="20" t="e">
        <v>#N/A</v>
      </c>
    </row>
    <row r="181" spans="2:16" x14ac:dyDescent="0.35">
      <c r="B181" s="15" t="e">
        <v>#N/A</v>
      </c>
      <c r="C181" s="16" t="s">
        <v>465</v>
      </c>
      <c r="D181" s="16" t="s">
        <v>219</v>
      </c>
      <c r="E181" s="30">
        <v>10</v>
      </c>
      <c r="F181" s="17">
        <v>374</v>
      </c>
      <c r="G181" s="34">
        <v>37.4</v>
      </c>
      <c r="H181" s="17">
        <v>0</v>
      </c>
      <c r="I181" s="2">
        <v>0</v>
      </c>
      <c r="J181" s="18">
        <v>0</v>
      </c>
      <c r="K181" s="4">
        <v>-374</v>
      </c>
      <c r="L181" s="37" t="s">
        <v>845</v>
      </c>
      <c r="N181" s="19">
        <v>-1</v>
      </c>
      <c r="P181" s="20" t="e">
        <v>#N/A</v>
      </c>
    </row>
    <row r="182" spans="2:16" x14ac:dyDescent="0.35">
      <c r="B182" s="15" t="e">
        <v>#N/A</v>
      </c>
      <c r="C182" s="16" t="s">
        <v>532</v>
      </c>
      <c r="D182" s="16" t="s">
        <v>199</v>
      </c>
      <c r="E182" s="30">
        <v>18</v>
      </c>
      <c r="F182" s="17">
        <v>480</v>
      </c>
      <c r="G182" s="34">
        <v>26.666666666666668</v>
      </c>
      <c r="H182" s="17">
        <v>0</v>
      </c>
      <c r="I182" s="2">
        <v>0</v>
      </c>
      <c r="J182" s="18">
        <v>0</v>
      </c>
      <c r="K182" s="4">
        <v>-480</v>
      </c>
      <c r="L182" s="37" t="s">
        <v>845</v>
      </c>
      <c r="N182" s="19">
        <v>-1</v>
      </c>
      <c r="P182" s="20" t="e">
        <v>#N/A</v>
      </c>
    </row>
    <row r="183" spans="2:16" x14ac:dyDescent="0.35">
      <c r="B183" s="15" t="e">
        <v>#N/A</v>
      </c>
      <c r="C183" s="16" t="s">
        <v>427</v>
      </c>
      <c r="D183" s="16" t="s">
        <v>206</v>
      </c>
      <c r="E183" s="30">
        <v>0</v>
      </c>
      <c r="F183" s="17">
        <v>495</v>
      </c>
      <c r="G183" s="34">
        <v>0</v>
      </c>
      <c r="H183" s="17">
        <v>0</v>
      </c>
      <c r="I183" s="2">
        <v>0</v>
      </c>
      <c r="J183" s="18">
        <v>0</v>
      </c>
      <c r="K183" s="4">
        <v>-495</v>
      </c>
      <c r="L183" s="37" t="s">
        <v>845</v>
      </c>
      <c r="N183" s="19">
        <v>-1</v>
      </c>
      <c r="P183" s="20" t="e">
        <v>#N/A</v>
      </c>
    </row>
    <row r="184" spans="2:16" x14ac:dyDescent="0.35">
      <c r="B184" s="15">
        <v>0</v>
      </c>
      <c r="C184" s="16" t="s">
        <v>589</v>
      </c>
      <c r="D184" s="16" t="s">
        <v>191</v>
      </c>
      <c r="E184" s="30">
        <v>69</v>
      </c>
      <c r="F184" s="17">
        <v>1243</v>
      </c>
      <c r="G184" s="34">
        <v>18.014492753623188</v>
      </c>
      <c r="H184" s="17">
        <v>43</v>
      </c>
      <c r="I184" s="2">
        <v>597</v>
      </c>
      <c r="J184" s="18">
        <v>13.883720930232558</v>
      </c>
      <c r="K184" s="4">
        <v>-646</v>
      </c>
      <c r="L184" s="37"/>
      <c r="N184" s="19">
        <v>-0.51971037811745779</v>
      </c>
      <c r="P184" s="20" t="s">
        <v>1294</v>
      </c>
    </row>
    <row r="185" spans="2:16" x14ac:dyDescent="0.35">
      <c r="B185" s="15" t="e">
        <v>#N/A</v>
      </c>
      <c r="C185" s="16" t="s">
        <v>595</v>
      </c>
      <c r="D185" s="16" t="s">
        <v>204</v>
      </c>
      <c r="E185" s="30">
        <v>0</v>
      </c>
      <c r="F185" s="17">
        <v>750</v>
      </c>
      <c r="G185" s="34">
        <v>0</v>
      </c>
      <c r="H185" s="17">
        <v>0</v>
      </c>
      <c r="I185" s="2">
        <v>0</v>
      </c>
      <c r="J185" s="18">
        <v>0</v>
      </c>
      <c r="K185" s="4">
        <v>-750</v>
      </c>
      <c r="L185" s="37" t="s">
        <v>845</v>
      </c>
      <c r="N185" s="19">
        <v>-1</v>
      </c>
      <c r="P185" s="20" t="e">
        <v>#N/A</v>
      </c>
    </row>
    <row r="186" spans="2:16" x14ac:dyDescent="0.35">
      <c r="B186" s="15" t="s">
        <v>815</v>
      </c>
      <c r="C186" s="16" t="s">
        <v>644</v>
      </c>
      <c r="D186" s="16" t="s">
        <v>15</v>
      </c>
      <c r="E186" s="30">
        <v>73</v>
      </c>
      <c r="F186" s="17">
        <v>768</v>
      </c>
      <c r="G186" s="34">
        <v>10.520547945205479</v>
      </c>
      <c r="H186" s="17">
        <v>0</v>
      </c>
      <c r="I186" s="2">
        <v>0</v>
      </c>
      <c r="J186" s="18">
        <v>0</v>
      </c>
      <c r="K186" s="4">
        <v>-768</v>
      </c>
      <c r="L186" s="37" t="s">
        <v>845</v>
      </c>
      <c r="N186" s="19">
        <v>-1</v>
      </c>
      <c r="P186" s="20" t="s">
        <v>1287</v>
      </c>
    </row>
    <row r="187" spans="2:16" x14ac:dyDescent="0.35">
      <c r="B187" s="15" t="e">
        <v>#N/A</v>
      </c>
      <c r="C187" s="16" t="s">
        <v>708</v>
      </c>
      <c r="D187" s="16" t="s">
        <v>177</v>
      </c>
      <c r="E187" s="30">
        <v>75</v>
      </c>
      <c r="F187" s="17">
        <v>926</v>
      </c>
      <c r="G187" s="34">
        <v>12.346666666666666</v>
      </c>
      <c r="H187" s="17">
        <v>0</v>
      </c>
      <c r="I187" s="2">
        <v>0</v>
      </c>
      <c r="J187" s="18">
        <v>0</v>
      </c>
      <c r="K187" s="4">
        <v>-926</v>
      </c>
      <c r="L187" s="37" t="s">
        <v>845</v>
      </c>
      <c r="N187" s="19">
        <v>-1</v>
      </c>
      <c r="P187" s="20" t="e">
        <v>#N/A</v>
      </c>
    </row>
    <row r="188" spans="2:16" x14ac:dyDescent="0.35">
      <c r="B188" s="15" t="e">
        <v>#N/A</v>
      </c>
      <c r="C188" s="16" t="s">
        <v>733</v>
      </c>
      <c r="D188" s="16" t="s">
        <v>316</v>
      </c>
      <c r="E188" s="30">
        <v>94</v>
      </c>
      <c r="F188" s="17">
        <v>1069</v>
      </c>
      <c r="G188" s="34">
        <v>11.372340425531915</v>
      </c>
      <c r="H188" s="17">
        <v>0</v>
      </c>
      <c r="I188" s="2">
        <v>0</v>
      </c>
      <c r="J188" s="18">
        <v>0</v>
      </c>
      <c r="K188" s="4">
        <v>-1069</v>
      </c>
      <c r="L188" s="37" t="s">
        <v>845</v>
      </c>
      <c r="N188" s="19">
        <v>-1</v>
      </c>
      <c r="P188" s="20" t="e">
        <v>#N/A</v>
      </c>
    </row>
    <row r="189" spans="2:16" x14ac:dyDescent="0.35">
      <c r="B189" s="15" t="s">
        <v>822</v>
      </c>
      <c r="C189" s="16" t="s">
        <v>672</v>
      </c>
      <c r="D189" s="16" t="s">
        <v>93</v>
      </c>
      <c r="E189" s="30">
        <v>0</v>
      </c>
      <c r="F189" s="17">
        <v>1152</v>
      </c>
      <c r="G189" s="34">
        <v>0</v>
      </c>
      <c r="H189" s="17">
        <v>0</v>
      </c>
      <c r="I189" s="2">
        <v>0</v>
      </c>
      <c r="J189" s="18">
        <v>0</v>
      </c>
      <c r="K189" s="4">
        <v>-1152</v>
      </c>
      <c r="L189" s="37" t="s">
        <v>845</v>
      </c>
      <c r="N189" s="19">
        <v>-1</v>
      </c>
      <c r="P189" s="20" t="s">
        <v>1300</v>
      </c>
    </row>
    <row r="190" spans="2:16" x14ac:dyDescent="0.35">
      <c r="B190" s="15" t="e">
        <v>#N/A</v>
      </c>
      <c r="C190" s="16" t="s">
        <v>503</v>
      </c>
      <c r="D190" s="16" t="s">
        <v>150</v>
      </c>
      <c r="E190" s="30">
        <v>0</v>
      </c>
      <c r="F190" s="17">
        <v>1200</v>
      </c>
      <c r="G190" s="34">
        <v>0</v>
      </c>
      <c r="H190" s="17">
        <v>0</v>
      </c>
      <c r="I190" s="2">
        <v>0</v>
      </c>
      <c r="J190" s="18">
        <v>0</v>
      </c>
      <c r="K190" s="4">
        <v>-1200</v>
      </c>
      <c r="L190" s="37" t="s">
        <v>845</v>
      </c>
      <c r="N190" s="19">
        <v>-1</v>
      </c>
      <c r="P190" s="20" t="e">
        <v>#N/A</v>
      </c>
    </row>
    <row r="191" spans="2:16" x14ac:dyDescent="0.35">
      <c r="B191" s="15" t="e">
        <v>#N/A</v>
      </c>
      <c r="C191" s="16" t="s">
        <v>507</v>
      </c>
      <c r="D191" s="16" t="s">
        <v>193</v>
      </c>
      <c r="E191" s="30">
        <v>60</v>
      </c>
      <c r="F191" s="17">
        <v>1252</v>
      </c>
      <c r="G191" s="34">
        <v>20.866666666666667</v>
      </c>
      <c r="H191" s="17">
        <v>0</v>
      </c>
      <c r="I191" s="2">
        <v>0</v>
      </c>
      <c r="J191" s="18">
        <v>0</v>
      </c>
      <c r="K191" s="4">
        <v>-1252</v>
      </c>
      <c r="L191" s="37" t="s">
        <v>845</v>
      </c>
      <c r="N191" s="19">
        <v>-1</v>
      </c>
      <c r="P191" s="20" t="e">
        <v>#N/A</v>
      </c>
    </row>
    <row r="192" spans="2:16" x14ac:dyDescent="0.35">
      <c r="B192" s="15" t="e">
        <v>#N/A</v>
      </c>
      <c r="C192" s="16" t="s">
        <v>688</v>
      </c>
      <c r="D192" s="16" t="s">
        <v>127</v>
      </c>
      <c r="E192" s="30">
        <v>0</v>
      </c>
      <c r="F192" s="17">
        <v>1300</v>
      </c>
      <c r="G192" s="34">
        <v>0</v>
      </c>
      <c r="H192" s="17">
        <v>0</v>
      </c>
      <c r="I192" s="2">
        <v>0</v>
      </c>
      <c r="J192" s="18">
        <v>0</v>
      </c>
      <c r="K192" s="4">
        <v>-1300</v>
      </c>
      <c r="L192" s="37" t="s">
        <v>845</v>
      </c>
      <c r="N192" s="19">
        <v>-1</v>
      </c>
      <c r="P192" s="20" t="e">
        <v>#N/A</v>
      </c>
    </row>
    <row r="193" spans="2:16" x14ac:dyDescent="0.35">
      <c r="B193" s="15" t="e">
        <v>#N/A</v>
      </c>
      <c r="C193" s="16" t="s">
        <v>617</v>
      </c>
      <c r="D193" s="16" t="s">
        <v>265</v>
      </c>
      <c r="E193" s="30">
        <v>10</v>
      </c>
      <c r="F193" s="17">
        <v>1324</v>
      </c>
      <c r="G193" s="34">
        <v>132.4</v>
      </c>
      <c r="H193" s="17">
        <v>0</v>
      </c>
      <c r="I193" s="2">
        <v>0</v>
      </c>
      <c r="J193" s="18">
        <v>0</v>
      </c>
      <c r="K193" s="4">
        <v>-1324</v>
      </c>
      <c r="L193" s="37" t="s">
        <v>845</v>
      </c>
      <c r="N193" s="19">
        <v>-1</v>
      </c>
      <c r="P193" s="20" t="e">
        <v>#N/A</v>
      </c>
    </row>
    <row r="194" spans="2:16" x14ac:dyDescent="0.35">
      <c r="B194" s="15" t="s">
        <v>841</v>
      </c>
      <c r="C194" s="16" t="s">
        <v>753</v>
      </c>
      <c r="D194" s="16" t="s">
        <v>354</v>
      </c>
      <c r="E194" s="30">
        <v>340</v>
      </c>
      <c r="F194" s="17">
        <v>6101</v>
      </c>
      <c r="G194" s="34">
        <v>17.944117647058825</v>
      </c>
      <c r="H194" s="17">
        <v>214</v>
      </c>
      <c r="I194" s="2">
        <v>4568</v>
      </c>
      <c r="J194" s="18">
        <v>21.345794392523363</v>
      </c>
      <c r="K194" s="4">
        <v>-1533</v>
      </c>
      <c r="L194" s="37"/>
      <c r="N194" s="19">
        <v>-0.25127028356007214</v>
      </c>
      <c r="P194" s="20" t="s">
        <v>1293</v>
      </c>
    </row>
    <row r="195" spans="2:16" x14ac:dyDescent="0.35">
      <c r="B195" s="15" t="e">
        <v>#N/A</v>
      </c>
      <c r="C195" s="16" t="s">
        <v>704</v>
      </c>
      <c r="D195" s="16" t="s">
        <v>163</v>
      </c>
      <c r="E195" s="30">
        <v>132</v>
      </c>
      <c r="F195" s="17">
        <v>1747</v>
      </c>
      <c r="G195" s="34">
        <v>13.234848484848484</v>
      </c>
      <c r="H195" s="17">
        <v>0</v>
      </c>
      <c r="I195" s="2">
        <v>0</v>
      </c>
      <c r="J195" s="18">
        <v>0</v>
      </c>
      <c r="K195" s="4">
        <v>-1747</v>
      </c>
      <c r="L195" s="37" t="s">
        <v>845</v>
      </c>
      <c r="N195" s="19">
        <v>-1</v>
      </c>
      <c r="P195" s="20" t="e">
        <v>#N/A</v>
      </c>
    </row>
    <row r="196" spans="2:16" x14ac:dyDescent="0.35">
      <c r="B196" s="15" t="e">
        <v>#N/A</v>
      </c>
      <c r="C196" s="16" t="s">
        <v>757</v>
      </c>
      <c r="D196" s="16" t="s">
        <v>358</v>
      </c>
      <c r="E196" s="30">
        <v>208</v>
      </c>
      <c r="F196" s="17">
        <v>1819</v>
      </c>
      <c r="G196" s="34">
        <v>8.7451923076923084</v>
      </c>
      <c r="H196" s="17">
        <v>0</v>
      </c>
      <c r="I196" s="2">
        <v>0</v>
      </c>
      <c r="J196" s="18">
        <v>0</v>
      </c>
      <c r="K196" s="4">
        <v>-1819</v>
      </c>
      <c r="L196" s="37" t="s">
        <v>845</v>
      </c>
      <c r="N196" s="19">
        <v>-1</v>
      </c>
      <c r="P196" s="20" t="e">
        <v>#N/A</v>
      </c>
    </row>
    <row r="197" spans="2:16" x14ac:dyDescent="0.35">
      <c r="B197" s="15" t="s">
        <v>832</v>
      </c>
      <c r="C197" s="16" t="s">
        <v>495</v>
      </c>
      <c r="D197" s="16" t="s">
        <v>161</v>
      </c>
      <c r="E197" s="30">
        <v>660</v>
      </c>
      <c r="F197" s="17">
        <v>16380</v>
      </c>
      <c r="G197" s="34">
        <v>24.818181818181817</v>
      </c>
      <c r="H197" s="17">
        <v>486</v>
      </c>
      <c r="I197" s="2">
        <v>14515</v>
      </c>
      <c r="J197" s="18">
        <v>29.866255144032923</v>
      </c>
      <c r="K197" s="4">
        <v>-1865</v>
      </c>
      <c r="L197" s="37"/>
      <c r="N197" s="19">
        <v>-0.11385836385836386</v>
      </c>
      <c r="P197" s="20" t="s">
        <v>1303</v>
      </c>
    </row>
    <row r="198" spans="2:16" x14ac:dyDescent="0.35">
      <c r="B198" s="15" t="e">
        <v>#N/A</v>
      </c>
      <c r="C198" s="16" t="s">
        <v>686</v>
      </c>
      <c r="D198" s="16" t="s">
        <v>123</v>
      </c>
      <c r="E198" s="30">
        <v>0</v>
      </c>
      <c r="F198" s="17">
        <v>1992</v>
      </c>
      <c r="G198" s="34">
        <v>0</v>
      </c>
      <c r="H198" s="17">
        <v>0</v>
      </c>
      <c r="I198" s="2">
        <v>0</v>
      </c>
      <c r="J198" s="18">
        <v>0</v>
      </c>
      <c r="K198" s="4">
        <v>-1992</v>
      </c>
      <c r="L198" s="37" t="s">
        <v>845</v>
      </c>
      <c r="N198" s="19">
        <v>-1</v>
      </c>
      <c r="P198" s="20" t="e">
        <v>#N/A</v>
      </c>
    </row>
    <row r="199" spans="2:16" x14ac:dyDescent="0.35">
      <c r="B199" s="15" t="s">
        <v>829</v>
      </c>
      <c r="C199" s="16" t="s">
        <v>546</v>
      </c>
      <c r="D199" s="16" t="s">
        <v>118</v>
      </c>
      <c r="E199" s="30">
        <v>11042</v>
      </c>
      <c r="F199" s="17">
        <v>103879</v>
      </c>
      <c r="G199" s="34">
        <v>9.4076254301756936</v>
      </c>
      <c r="H199" s="17">
        <v>8812</v>
      </c>
      <c r="I199" s="2">
        <v>101767</v>
      </c>
      <c r="J199" s="18">
        <v>11.548683613254653</v>
      </c>
      <c r="K199" s="4">
        <v>-2112</v>
      </c>
      <c r="L199" s="37"/>
      <c r="N199" s="19">
        <v>-2.0331347048007778E-2</v>
      </c>
      <c r="P199" s="20" t="s">
        <v>1295</v>
      </c>
    </row>
    <row r="200" spans="2:16" x14ac:dyDescent="0.35">
      <c r="B200" s="15">
        <v>0</v>
      </c>
      <c r="C200" s="16" t="s">
        <v>464</v>
      </c>
      <c r="D200" s="16" t="s">
        <v>114</v>
      </c>
      <c r="E200" s="30">
        <v>5131</v>
      </c>
      <c r="F200" s="17">
        <v>34987</v>
      </c>
      <c r="G200" s="34">
        <v>6.8187487819138566</v>
      </c>
      <c r="H200" s="17">
        <v>4840</v>
      </c>
      <c r="I200" s="2">
        <v>32800</v>
      </c>
      <c r="J200" s="18">
        <v>6.776859504132231</v>
      </c>
      <c r="K200" s="4">
        <v>-2187</v>
      </c>
      <c r="L200" s="37"/>
      <c r="N200" s="19">
        <v>-6.2508931888987332E-2</v>
      </c>
      <c r="P200" s="20" t="s">
        <v>1295</v>
      </c>
    </row>
    <row r="201" spans="2:16" x14ac:dyDescent="0.35">
      <c r="B201" s="15" t="e">
        <v>#N/A</v>
      </c>
      <c r="C201" s="16" t="s">
        <v>623</v>
      </c>
      <c r="D201" s="16" t="s">
        <v>157</v>
      </c>
      <c r="E201" s="30">
        <v>0</v>
      </c>
      <c r="F201" s="17">
        <v>2305</v>
      </c>
      <c r="G201" s="34">
        <v>0</v>
      </c>
      <c r="H201" s="17">
        <v>0</v>
      </c>
      <c r="I201" s="2">
        <v>0</v>
      </c>
      <c r="J201" s="18">
        <v>0</v>
      </c>
      <c r="K201" s="4">
        <v>-2305</v>
      </c>
      <c r="L201" s="37" t="s">
        <v>845</v>
      </c>
      <c r="N201" s="19">
        <v>-1</v>
      </c>
      <c r="P201" s="20" t="e">
        <v>#N/A</v>
      </c>
    </row>
    <row r="202" spans="2:16" x14ac:dyDescent="0.35">
      <c r="B202" s="15" t="e">
        <v>#N/A</v>
      </c>
      <c r="C202" s="16" t="s">
        <v>506</v>
      </c>
      <c r="D202" s="16" t="s">
        <v>100</v>
      </c>
      <c r="E202" s="30">
        <v>15</v>
      </c>
      <c r="F202" s="17">
        <v>2320</v>
      </c>
      <c r="G202" s="34">
        <v>154.66666666666666</v>
      </c>
      <c r="H202" s="17">
        <v>0</v>
      </c>
      <c r="I202" s="2">
        <v>0</v>
      </c>
      <c r="J202" s="18">
        <v>0</v>
      </c>
      <c r="K202" s="4">
        <v>-2320</v>
      </c>
      <c r="L202" s="37" t="s">
        <v>845</v>
      </c>
      <c r="N202" s="19">
        <v>-1</v>
      </c>
      <c r="P202" s="20" t="e">
        <v>#N/A</v>
      </c>
    </row>
    <row r="203" spans="2:16" x14ac:dyDescent="0.35">
      <c r="B203" s="15" t="s">
        <v>819</v>
      </c>
      <c r="C203" s="16" t="s">
        <v>697</v>
      </c>
      <c r="D203" s="16" t="s">
        <v>141</v>
      </c>
      <c r="E203" s="30">
        <v>4284</v>
      </c>
      <c r="F203" s="17">
        <v>43887</v>
      </c>
      <c r="G203" s="34">
        <v>10.244397759103641</v>
      </c>
      <c r="H203" s="17">
        <v>4205</v>
      </c>
      <c r="I203" s="2">
        <v>41282</v>
      </c>
      <c r="J203" s="18">
        <v>9.817360285374555</v>
      </c>
      <c r="K203" s="4">
        <v>-2605</v>
      </c>
      <c r="L203" s="37"/>
      <c r="N203" s="19">
        <v>-5.9356984984163877E-2</v>
      </c>
      <c r="P203" s="20" t="s">
        <v>1303</v>
      </c>
    </row>
    <row r="204" spans="2:16" x14ac:dyDescent="0.35">
      <c r="B204" s="15">
        <v>0</v>
      </c>
      <c r="C204" s="16" t="s">
        <v>680</v>
      </c>
      <c r="D204" s="16" t="s">
        <v>115</v>
      </c>
      <c r="E204" s="30">
        <v>0</v>
      </c>
      <c r="F204" s="17">
        <v>3000</v>
      </c>
      <c r="G204" s="34">
        <v>0</v>
      </c>
      <c r="H204" s="17">
        <v>0</v>
      </c>
      <c r="I204" s="2">
        <v>0</v>
      </c>
      <c r="J204" s="18">
        <v>0</v>
      </c>
      <c r="K204" s="4">
        <v>-3000</v>
      </c>
      <c r="L204" s="37" t="s">
        <v>845</v>
      </c>
      <c r="N204" s="19">
        <v>-1</v>
      </c>
      <c r="P204" s="20" t="s">
        <v>1289</v>
      </c>
    </row>
    <row r="205" spans="2:16" x14ac:dyDescent="0.35">
      <c r="B205" s="15">
        <v>0</v>
      </c>
      <c r="C205" s="16" t="s">
        <v>497</v>
      </c>
      <c r="D205" s="16" t="s">
        <v>155</v>
      </c>
      <c r="E205" s="30">
        <v>124</v>
      </c>
      <c r="F205" s="17">
        <v>3028</v>
      </c>
      <c r="G205" s="34">
        <v>24.419354838709676</v>
      </c>
      <c r="H205" s="17">
        <v>0</v>
      </c>
      <c r="I205" s="2">
        <v>10</v>
      </c>
      <c r="J205" s="18">
        <v>0</v>
      </c>
      <c r="K205" s="4">
        <v>-3018</v>
      </c>
      <c r="L205" s="37" t="s">
        <v>1063</v>
      </c>
      <c r="N205" s="19">
        <v>-0.99669749009247033</v>
      </c>
      <c r="P205" s="20" t="s">
        <v>1286</v>
      </c>
    </row>
    <row r="206" spans="2:16" x14ac:dyDescent="0.35">
      <c r="B206" s="15" t="e">
        <v>#N/A</v>
      </c>
      <c r="C206" s="16" t="s">
        <v>566</v>
      </c>
      <c r="D206" s="16" t="s">
        <v>237</v>
      </c>
      <c r="E206" s="30">
        <v>254</v>
      </c>
      <c r="F206" s="17">
        <v>3528</v>
      </c>
      <c r="G206" s="34">
        <v>13.889763779527559</v>
      </c>
      <c r="H206" s="17">
        <v>0</v>
      </c>
      <c r="I206" s="2">
        <v>0</v>
      </c>
      <c r="J206" s="18">
        <v>0</v>
      </c>
      <c r="K206" s="4">
        <v>-3528</v>
      </c>
      <c r="L206" s="37" t="s">
        <v>845</v>
      </c>
      <c r="N206" s="19">
        <v>-1</v>
      </c>
      <c r="P206" s="20" t="e">
        <v>#N/A</v>
      </c>
    </row>
    <row r="207" spans="2:16" x14ac:dyDescent="0.35">
      <c r="B207" s="15" t="s">
        <v>814</v>
      </c>
      <c r="C207" s="16" t="s">
        <v>528</v>
      </c>
      <c r="D207" s="16" t="s">
        <v>136</v>
      </c>
      <c r="E207" s="30">
        <v>4586</v>
      </c>
      <c r="F207" s="17">
        <v>60147</v>
      </c>
      <c r="G207" s="34">
        <v>13.115351068469254</v>
      </c>
      <c r="H207" s="17">
        <v>4699</v>
      </c>
      <c r="I207" s="2">
        <v>56492</v>
      </c>
      <c r="J207" s="18">
        <v>12.022132368589061</v>
      </c>
      <c r="K207" s="4">
        <v>-3655</v>
      </c>
      <c r="L207" s="37"/>
      <c r="N207" s="19">
        <v>-6.0767785591966349E-2</v>
      </c>
      <c r="P207" s="20" t="s">
        <v>1297</v>
      </c>
    </row>
    <row r="208" spans="2:16" x14ac:dyDescent="0.35">
      <c r="B208" s="15" t="s">
        <v>841</v>
      </c>
      <c r="C208" s="16" t="s">
        <v>765</v>
      </c>
      <c r="D208" s="16" t="s">
        <v>366</v>
      </c>
      <c r="E208" s="30">
        <v>184</v>
      </c>
      <c r="F208" s="17">
        <v>13736</v>
      </c>
      <c r="G208" s="34">
        <v>74.652173913043484</v>
      </c>
      <c r="H208" s="17">
        <v>212</v>
      </c>
      <c r="I208" s="2">
        <v>9483</v>
      </c>
      <c r="J208" s="18">
        <v>44.731132075471699</v>
      </c>
      <c r="K208" s="4">
        <v>-4253</v>
      </c>
      <c r="L208" s="37"/>
      <c r="N208" s="19">
        <v>-0.3096243447874199</v>
      </c>
      <c r="P208" s="20" t="s">
        <v>1297</v>
      </c>
    </row>
    <row r="209" spans="2:16" x14ac:dyDescent="0.35">
      <c r="B209" s="15" t="s">
        <v>819</v>
      </c>
      <c r="C209" s="16" t="s">
        <v>701</v>
      </c>
      <c r="D209" s="16" t="s">
        <v>154</v>
      </c>
      <c r="E209" s="30">
        <v>433</v>
      </c>
      <c r="F209" s="17">
        <v>4314</v>
      </c>
      <c r="G209" s="34">
        <v>9.9630484988452661</v>
      </c>
      <c r="H209" s="17">
        <v>0</v>
      </c>
      <c r="I209" s="2">
        <v>0</v>
      </c>
      <c r="J209" s="18">
        <v>0</v>
      </c>
      <c r="K209" s="4">
        <v>-4314</v>
      </c>
      <c r="L209" s="37" t="s">
        <v>845</v>
      </c>
      <c r="N209" s="19">
        <v>-1</v>
      </c>
      <c r="P209" s="20" t="s">
        <v>1285</v>
      </c>
    </row>
    <row r="210" spans="2:16" x14ac:dyDescent="0.35">
      <c r="B210" s="15" t="s">
        <v>819</v>
      </c>
      <c r="C210" s="16" t="s">
        <v>674</v>
      </c>
      <c r="D210" s="16" t="s">
        <v>101</v>
      </c>
      <c r="E210" s="30">
        <v>269</v>
      </c>
      <c r="F210" s="17">
        <v>5888</v>
      </c>
      <c r="G210" s="34">
        <v>21.888475836431226</v>
      </c>
      <c r="H210" s="17">
        <v>0</v>
      </c>
      <c r="I210" s="2">
        <v>0</v>
      </c>
      <c r="J210" s="18">
        <v>0</v>
      </c>
      <c r="K210" s="4">
        <v>-5888</v>
      </c>
      <c r="L210" s="37" t="s">
        <v>845</v>
      </c>
      <c r="N210" s="19">
        <v>-1</v>
      </c>
      <c r="P210" s="20" t="s">
        <v>1335</v>
      </c>
    </row>
    <row r="211" spans="2:16" x14ac:dyDescent="0.35">
      <c r="B211" s="15" t="s">
        <v>822</v>
      </c>
      <c r="C211" s="16" t="s">
        <v>714</v>
      </c>
      <c r="D211" s="16" t="s">
        <v>198</v>
      </c>
      <c r="E211" s="30">
        <v>581</v>
      </c>
      <c r="F211" s="17">
        <v>9147</v>
      </c>
      <c r="G211" s="34">
        <v>15.74354561101549</v>
      </c>
      <c r="H211" s="17">
        <v>12</v>
      </c>
      <c r="I211" s="2">
        <v>3243</v>
      </c>
      <c r="J211" s="18">
        <v>270.25</v>
      </c>
      <c r="K211" s="4">
        <v>-5904</v>
      </c>
      <c r="L211" s="37"/>
      <c r="N211" s="19">
        <v>-0.64545752705805182</v>
      </c>
      <c r="P211" s="20" t="s">
        <v>1335</v>
      </c>
    </row>
    <row r="212" spans="2:16" x14ac:dyDescent="0.35">
      <c r="B212" s="15" t="e">
        <v>#N/A</v>
      </c>
      <c r="C212" s="16" t="e">
        <v>#N/A</v>
      </c>
      <c r="D212" s="16" t="s">
        <v>381</v>
      </c>
      <c r="E212" s="30">
        <v>4253</v>
      </c>
      <c r="F212" s="17">
        <v>48837</v>
      </c>
      <c r="G212" s="34">
        <v>11.482953209499177</v>
      </c>
      <c r="H212" s="17">
        <v>1964</v>
      </c>
      <c r="I212" s="2">
        <v>42915</v>
      </c>
      <c r="J212" s="18">
        <v>21.85081466395112</v>
      </c>
      <c r="K212" s="4">
        <v>-5922</v>
      </c>
      <c r="L212" s="37"/>
      <c r="N212" s="19">
        <v>-0.12126051968794152</v>
      </c>
      <c r="P212" s="20" t="e">
        <v>#N/A</v>
      </c>
    </row>
    <row r="213" spans="2:16" x14ac:dyDescent="0.35">
      <c r="B213" s="15" t="s">
        <v>828</v>
      </c>
      <c r="C213" s="16" t="s">
        <v>613</v>
      </c>
      <c r="D213" s="16" t="s">
        <v>66</v>
      </c>
      <c r="E213" s="30">
        <v>0</v>
      </c>
      <c r="F213" s="17">
        <v>7240</v>
      </c>
      <c r="G213" s="34">
        <v>0</v>
      </c>
      <c r="H213" s="17">
        <v>0</v>
      </c>
      <c r="I213" s="2">
        <v>0</v>
      </c>
      <c r="J213" s="18">
        <v>0</v>
      </c>
      <c r="K213" s="4">
        <v>-7240</v>
      </c>
      <c r="L213" s="37" t="s">
        <v>845</v>
      </c>
      <c r="N213" s="19">
        <v>-1</v>
      </c>
      <c r="P213" s="20" t="s">
        <v>1060</v>
      </c>
    </row>
    <row r="214" spans="2:16" x14ac:dyDescent="0.35">
      <c r="B214" s="15" t="s">
        <v>822</v>
      </c>
      <c r="C214" s="16" t="s">
        <v>678</v>
      </c>
      <c r="D214" s="16" t="s">
        <v>112</v>
      </c>
      <c r="E214" s="30">
        <v>138</v>
      </c>
      <c r="F214" s="17">
        <v>8469</v>
      </c>
      <c r="G214" s="34">
        <v>61.369565217391305</v>
      </c>
      <c r="H214" s="17">
        <v>20</v>
      </c>
      <c r="I214" s="2">
        <v>1145</v>
      </c>
      <c r="J214" s="18">
        <v>57.25</v>
      </c>
      <c r="K214" s="4">
        <v>-7324</v>
      </c>
      <c r="L214" s="37" t="s">
        <v>1063</v>
      </c>
      <c r="N214" s="19">
        <v>-0.86480103908371708</v>
      </c>
      <c r="P214" s="20" t="s">
        <v>1283</v>
      </c>
    </row>
    <row r="215" spans="2:16" x14ac:dyDescent="0.35">
      <c r="B215" s="15" t="s">
        <v>822</v>
      </c>
      <c r="C215" s="16" t="s">
        <v>679</v>
      </c>
      <c r="D215" s="16" t="s">
        <v>113</v>
      </c>
      <c r="E215" s="30">
        <v>5304</v>
      </c>
      <c r="F215" s="17">
        <v>72669</v>
      </c>
      <c r="G215" s="34">
        <v>13.700791855203621</v>
      </c>
      <c r="H215" s="17">
        <v>2993</v>
      </c>
      <c r="I215" s="2">
        <v>63597</v>
      </c>
      <c r="J215" s="18">
        <v>21.248580020046777</v>
      </c>
      <c r="K215" s="4">
        <v>-9072</v>
      </c>
      <c r="L215" s="37"/>
      <c r="N215" s="19">
        <v>-0.12484002807249309</v>
      </c>
      <c r="P215" s="20" t="s">
        <v>1283</v>
      </c>
    </row>
    <row r="216" spans="2:16" x14ac:dyDescent="0.35">
      <c r="B216" s="15">
        <v>0</v>
      </c>
      <c r="C216" s="16" t="s">
        <v>474</v>
      </c>
      <c r="D216" s="16" t="s">
        <v>145</v>
      </c>
      <c r="E216" s="30">
        <v>1097</v>
      </c>
      <c r="F216" s="17">
        <v>9252</v>
      </c>
      <c r="G216" s="34">
        <v>8.433910665451231</v>
      </c>
      <c r="H216" s="17">
        <v>0</v>
      </c>
      <c r="I216" s="2">
        <v>0</v>
      </c>
      <c r="J216" s="18">
        <v>0</v>
      </c>
      <c r="K216" s="4">
        <v>-9252</v>
      </c>
      <c r="L216" s="37" t="s">
        <v>845</v>
      </c>
      <c r="N216" s="19">
        <v>-1</v>
      </c>
      <c r="P216" s="20" t="s">
        <v>1281</v>
      </c>
    </row>
    <row r="217" spans="2:16" x14ac:dyDescent="0.35">
      <c r="B217" s="15" t="s">
        <v>841</v>
      </c>
      <c r="C217" s="16" t="s">
        <v>773</v>
      </c>
      <c r="D217" s="16" t="s">
        <v>375</v>
      </c>
      <c r="E217" s="30">
        <v>3165</v>
      </c>
      <c r="F217" s="17">
        <v>27628</v>
      </c>
      <c r="G217" s="34">
        <v>8.7292259083728272</v>
      </c>
      <c r="H217" s="17">
        <v>2338</v>
      </c>
      <c r="I217" s="2">
        <v>17899</v>
      </c>
      <c r="J217" s="18">
        <v>7.6556886227544911</v>
      </c>
      <c r="K217" s="4">
        <v>-9729</v>
      </c>
      <c r="L217" s="37"/>
      <c r="N217" s="19">
        <v>-0.35214275372810194</v>
      </c>
      <c r="P217" s="20" t="s">
        <v>1288</v>
      </c>
    </row>
    <row r="218" spans="2:16" x14ac:dyDescent="0.35">
      <c r="B218" s="15" t="s">
        <v>815</v>
      </c>
      <c r="C218" s="16" t="s">
        <v>681</v>
      </c>
      <c r="D218" s="16" t="s">
        <v>116</v>
      </c>
      <c r="E218" s="30">
        <v>2014</v>
      </c>
      <c r="F218" s="17">
        <v>44494</v>
      </c>
      <c r="G218" s="34">
        <v>22.092353525322739</v>
      </c>
      <c r="H218" s="17">
        <v>1157</v>
      </c>
      <c r="I218" s="2">
        <v>34017</v>
      </c>
      <c r="J218" s="18">
        <v>29.401037165082109</v>
      </c>
      <c r="K218" s="4">
        <v>-10477</v>
      </c>
      <c r="L218" s="37"/>
      <c r="N218" s="19">
        <v>-0.23546995100462983</v>
      </c>
      <c r="P218" s="20" t="s">
        <v>1289</v>
      </c>
    </row>
    <row r="219" spans="2:16" x14ac:dyDescent="0.35">
      <c r="B219" s="15">
        <v>0</v>
      </c>
      <c r="C219" s="16" t="s">
        <v>460</v>
      </c>
      <c r="D219" s="16" t="s">
        <v>185</v>
      </c>
      <c r="E219" s="30">
        <v>2851</v>
      </c>
      <c r="F219" s="17">
        <v>31877</v>
      </c>
      <c r="G219" s="34">
        <v>11.180989126622238</v>
      </c>
      <c r="H219" s="17">
        <v>1557</v>
      </c>
      <c r="I219" s="2">
        <v>21350</v>
      </c>
      <c r="J219" s="18">
        <v>13.712267180475273</v>
      </c>
      <c r="K219" s="4">
        <v>-10527</v>
      </c>
      <c r="L219" s="37"/>
      <c r="N219" s="19">
        <v>-0.3302381027072811</v>
      </c>
      <c r="P219" s="20" t="s">
        <v>1286</v>
      </c>
    </row>
    <row r="220" spans="2:16" x14ac:dyDescent="0.35">
      <c r="B220" s="15" t="s">
        <v>813</v>
      </c>
      <c r="C220" s="16" t="s">
        <v>466</v>
      </c>
      <c r="D220" s="16" t="s">
        <v>121</v>
      </c>
      <c r="E220" s="30">
        <v>2568</v>
      </c>
      <c r="F220" s="17">
        <v>86547</v>
      </c>
      <c r="G220" s="34">
        <v>33.70210280373832</v>
      </c>
      <c r="H220" s="17">
        <v>2244</v>
      </c>
      <c r="I220" s="2">
        <v>75911</v>
      </c>
      <c r="J220" s="18">
        <v>33.828431372549019</v>
      </c>
      <c r="K220" s="4">
        <v>-10636</v>
      </c>
      <c r="L220" s="37"/>
      <c r="N220" s="19">
        <v>-0.12289276346955989</v>
      </c>
      <c r="P220" s="20" t="s">
        <v>1281</v>
      </c>
    </row>
    <row r="221" spans="2:16" x14ac:dyDescent="0.35">
      <c r="B221" s="15" t="s">
        <v>833</v>
      </c>
      <c r="C221" s="16" t="s">
        <v>563</v>
      </c>
      <c r="D221" s="16" t="s">
        <v>165</v>
      </c>
      <c r="E221" s="30">
        <v>212</v>
      </c>
      <c r="F221" s="17">
        <v>23295</v>
      </c>
      <c r="G221" s="34">
        <v>109.88207547169812</v>
      </c>
      <c r="H221" s="17">
        <v>221</v>
      </c>
      <c r="I221" s="2">
        <v>12147</v>
      </c>
      <c r="J221" s="18">
        <v>54.963800904977376</v>
      </c>
      <c r="K221" s="4">
        <v>-11148</v>
      </c>
      <c r="L221" s="37"/>
      <c r="N221" s="19">
        <v>-0.47855763039278815</v>
      </c>
      <c r="P221" s="20" t="s">
        <v>1295</v>
      </c>
    </row>
    <row r="222" spans="2:16" x14ac:dyDescent="0.35">
      <c r="B222" s="15" t="s">
        <v>819</v>
      </c>
      <c r="C222" s="16" t="s">
        <v>713</v>
      </c>
      <c r="D222" s="16" t="s">
        <v>195</v>
      </c>
      <c r="E222" s="30">
        <v>6726</v>
      </c>
      <c r="F222" s="17">
        <v>65626</v>
      </c>
      <c r="G222" s="34">
        <v>9.7570621468926557</v>
      </c>
      <c r="H222" s="17">
        <v>5303</v>
      </c>
      <c r="I222" s="2">
        <v>54408</v>
      </c>
      <c r="J222" s="18">
        <v>10.25985291344522</v>
      </c>
      <c r="K222" s="4">
        <v>-11218</v>
      </c>
      <c r="L222" s="37"/>
      <c r="N222" s="19">
        <v>-0.17093834760613172</v>
      </c>
      <c r="P222" s="20" t="s">
        <v>1303</v>
      </c>
    </row>
    <row r="223" spans="2:16" x14ac:dyDescent="0.35">
      <c r="B223" s="15" t="s">
        <v>837</v>
      </c>
      <c r="C223" s="16" t="s">
        <v>779</v>
      </c>
      <c r="D223" s="16" t="s">
        <v>382</v>
      </c>
      <c r="E223" s="30">
        <v>3114</v>
      </c>
      <c r="F223" s="17">
        <v>44286</v>
      </c>
      <c r="G223" s="34">
        <v>14.221579961464354</v>
      </c>
      <c r="H223" s="17">
        <v>481</v>
      </c>
      <c r="I223" s="2">
        <v>32239</v>
      </c>
      <c r="J223" s="18">
        <v>67.024948024948031</v>
      </c>
      <c r="K223" s="4">
        <v>-12047</v>
      </c>
      <c r="L223" s="37"/>
      <c r="N223" s="19">
        <v>-0.27202727724337261</v>
      </c>
      <c r="P223" s="20" t="s">
        <v>1297</v>
      </c>
    </row>
    <row r="224" spans="2:16" x14ac:dyDescent="0.35">
      <c r="B224" s="15" t="e">
        <v>#N/A</v>
      </c>
      <c r="C224" s="16" t="s">
        <v>771</v>
      </c>
      <c r="D224" s="16" t="s">
        <v>373</v>
      </c>
      <c r="E224" s="30">
        <v>742</v>
      </c>
      <c r="F224" s="17">
        <v>12048</v>
      </c>
      <c r="G224" s="34">
        <v>16.237196765498652</v>
      </c>
      <c r="H224" s="17">
        <v>0</v>
      </c>
      <c r="I224" s="2">
        <v>0</v>
      </c>
      <c r="J224" s="18">
        <v>0</v>
      </c>
      <c r="K224" s="4">
        <v>-12048</v>
      </c>
      <c r="L224" s="37" t="s">
        <v>845</v>
      </c>
      <c r="N224" s="19">
        <v>-1</v>
      </c>
      <c r="P224" s="20" t="e">
        <v>#N/A</v>
      </c>
    </row>
    <row r="225" spans="2:16" x14ac:dyDescent="0.35">
      <c r="B225" s="15" t="s">
        <v>839</v>
      </c>
      <c r="C225" s="16" t="s">
        <v>778</v>
      </c>
      <c r="D225" s="16" t="s">
        <v>380</v>
      </c>
      <c r="E225" s="30">
        <v>1404</v>
      </c>
      <c r="F225" s="17">
        <v>17498</v>
      </c>
      <c r="G225" s="34">
        <v>12.462962962962964</v>
      </c>
      <c r="H225" s="17">
        <v>436</v>
      </c>
      <c r="I225" s="2">
        <v>4510</v>
      </c>
      <c r="J225" s="18">
        <v>10.344036697247706</v>
      </c>
      <c r="K225" s="4">
        <v>-12988</v>
      </c>
      <c r="L225" s="37" t="s">
        <v>1063</v>
      </c>
      <c r="N225" s="19">
        <v>-0.74225625785804095</v>
      </c>
      <c r="P225" s="20" t="s">
        <v>1312</v>
      </c>
    </row>
    <row r="226" spans="2:16" x14ac:dyDescent="0.35">
      <c r="B226" s="15" t="s">
        <v>827</v>
      </c>
      <c r="C226" s="16" t="s">
        <v>481</v>
      </c>
      <c r="D226" s="16" t="s">
        <v>102</v>
      </c>
      <c r="E226" s="30">
        <v>6449</v>
      </c>
      <c r="F226" s="17">
        <v>103645</v>
      </c>
      <c r="G226" s="34">
        <v>16.071483951000154</v>
      </c>
      <c r="H226" s="17">
        <v>5335</v>
      </c>
      <c r="I226" s="2">
        <v>89794</v>
      </c>
      <c r="J226" s="18">
        <v>16.831115276476101</v>
      </c>
      <c r="K226" s="4">
        <v>-13851</v>
      </c>
      <c r="L226" s="37"/>
      <c r="N226" s="19">
        <v>-0.13363886342804765</v>
      </c>
      <c r="P226" s="20" t="s">
        <v>1281</v>
      </c>
    </row>
    <row r="227" spans="2:16" x14ac:dyDescent="0.35">
      <c r="B227" s="15" t="s">
        <v>824</v>
      </c>
      <c r="C227" s="16" t="s">
        <v>561</v>
      </c>
      <c r="D227" s="16" t="s">
        <v>134</v>
      </c>
      <c r="E227" s="30">
        <v>4358</v>
      </c>
      <c r="F227" s="17">
        <v>108300</v>
      </c>
      <c r="G227" s="34">
        <v>24.850849013308856</v>
      </c>
      <c r="H227" s="17">
        <v>3674</v>
      </c>
      <c r="I227" s="2">
        <v>94277</v>
      </c>
      <c r="J227" s="18">
        <v>25.660587915078931</v>
      </c>
      <c r="K227" s="4">
        <v>-14023</v>
      </c>
      <c r="L227" s="37"/>
      <c r="N227" s="19">
        <v>-0.12948291782086796</v>
      </c>
      <c r="P227" s="20" t="s">
        <v>1297</v>
      </c>
    </row>
    <row r="228" spans="2:16" x14ac:dyDescent="0.35">
      <c r="B228" s="15" t="s">
        <v>828</v>
      </c>
      <c r="C228" s="16" t="s">
        <v>610</v>
      </c>
      <c r="D228" s="16" t="s">
        <v>144</v>
      </c>
      <c r="E228" s="30">
        <v>1795</v>
      </c>
      <c r="F228" s="17">
        <v>19892</v>
      </c>
      <c r="G228" s="34">
        <v>11.081894150417828</v>
      </c>
      <c r="H228" s="17">
        <v>478</v>
      </c>
      <c r="I228" s="2">
        <v>5826</v>
      </c>
      <c r="J228" s="18">
        <v>12.188284518828452</v>
      </c>
      <c r="K228" s="4">
        <v>-14066</v>
      </c>
      <c r="L228" s="37" t="s">
        <v>1063</v>
      </c>
      <c r="N228" s="19">
        <v>-0.70711843957369802</v>
      </c>
      <c r="P228" s="20" t="s">
        <v>1062</v>
      </c>
    </row>
    <row r="229" spans="2:16" x14ac:dyDescent="0.35">
      <c r="B229" s="15">
        <v>0</v>
      </c>
      <c r="C229" s="16" t="s">
        <v>498</v>
      </c>
      <c r="D229" s="16" t="s">
        <v>142</v>
      </c>
      <c r="E229" s="30">
        <v>2374</v>
      </c>
      <c r="F229" s="17">
        <v>35748</v>
      </c>
      <c r="G229" s="34">
        <v>15.058129738837405</v>
      </c>
      <c r="H229" s="17">
        <v>931</v>
      </c>
      <c r="I229" s="2">
        <v>19118</v>
      </c>
      <c r="J229" s="18">
        <v>20.534908700322234</v>
      </c>
      <c r="K229" s="4">
        <v>-16630</v>
      </c>
      <c r="L229" s="37"/>
      <c r="N229" s="19">
        <v>-0.46520085039722503</v>
      </c>
      <c r="P229" s="20" t="s">
        <v>1285</v>
      </c>
    </row>
    <row r="230" spans="2:16" x14ac:dyDescent="0.35">
      <c r="B230" s="15" t="s">
        <v>825</v>
      </c>
      <c r="C230" s="16" t="s">
        <v>601</v>
      </c>
      <c r="D230" s="16" t="s">
        <v>152</v>
      </c>
      <c r="E230" s="30">
        <v>4768</v>
      </c>
      <c r="F230" s="17">
        <v>48340</v>
      </c>
      <c r="G230" s="34">
        <v>10.138422818791947</v>
      </c>
      <c r="H230" s="17">
        <v>3245</v>
      </c>
      <c r="I230" s="2">
        <v>30797</v>
      </c>
      <c r="J230" s="18">
        <v>9.4906009244992298</v>
      </c>
      <c r="K230" s="4">
        <v>-17543</v>
      </c>
      <c r="L230" s="37"/>
      <c r="N230" s="19">
        <v>-0.36290856433595364</v>
      </c>
      <c r="P230" s="20" t="s">
        <v>1303</v>
      </c>
    </row>
    <row r="231" spans="2:16" x14ac:dyDescent="0.35">
      <c r="B231" s="15">
        <v>0</v>
      </c>
      <c r="C231" s="16" t="s">
        <v>621</v>
      </c>
      <c r="D231" s="16" t="s">
        <v>26</v>
      </c>
      <c r="E231" s="30">
        <v>948</v>
      </c>
      <c r="F231" s="17">
        <v>40231</v>
      </c>
      <c r="G231" s="34">
        <v>42.437763713080166</v>
      </c>
      <c r="H231" s="17">
        <v>2141</v>
      </c>
      <c r="I231" s="2">
        <v>21692</v>
      </c>
      <c r="J231" s="18">
        <v>10.131714152265296</v>
      </c>
      <c r="K231" s="4">
        <v>-18539</v>
      </c>
      <c r="L231" s="37"/>
      <c r="N231" s="19">
        <v>-0.46081380030324876</v>
      </c>
      <c r="P231" s="20" t="s">
        <v>1314</v>
      </c>
    </row>
    <row r="232" spans="2:16" x14ac:dyDescent="0.35">
      <c r="B232" s="15" t="e">
        <v>#N/A</v>
      </c>
      <c r="C232" s="16" t="s">
        <v>738</v>
      </c>
      <c r="D232" s="16" t="s">
        <v>338</v>
      </c>
      <c r="E232" s="30">
        <v>0</v>
      </c>
      <c r="F232" s="17">
        <v>18630</v>
      </c>
      <c r="G232" s="34">
        <v>0</v>
      </c>
      <c r="H232" s="17">
        <v>0</v>
      </c>
      <c r="I232" s="2">
        <v>0</v>
      </c>
      <c r="J232" s="18">
        <v>0</v>
      </c>
      <c r="K232" s="4">
        <v>-18630</v>
      </c>
      <c r="L232" s="37" t="s">
        <v>845</v>
      </c>
      <c r="N232" s="19">
        <v>-1</v>
      </c>
      <c r="P232" s="20" t="e">
        <v>#N/A</v>
      </c>
    </row>
    <row r="233" spans="2:16" x14ac:dyDescent="0.35">
      <c r="B233" s="15">
        <v>0</v>
      </c>
      <c r="C233" s="16" t="s">
        <v>493</v>
      </c>
      <c r="D233" s="16" t="s">
        <v>188</v>
      </c>
      <c r="E233" s="30">
        <v>760</v>
      </c>
      <c r="F233" s="17">
        <v>21121</v>
      </c>
      <c r="G233" s="34">
        <v>27.79078947368421</v>
      </c>
      <c r="H233" s="17">
        <v>60</v>
      </c>
      <c r="I233" s="2">
        <v>1885</v>
      </c>
      <c r="J233" s="18">
        <v>31.416666666666668</v>
      </c>
      <c r="K233" s="4">
        <v>-19236</v>
      </c>
      <c r="L233" s="37" t="s">
        <v>1063</v>
      </c>
      <c r="N233" s="19">
        <v>-0.9107523318024715</v>
      </c>
      <c r="P233" s="20" t="s">
        <v>1286</v>
      </c>
    </row>
    <row r="234" spans="2:16" x14ac:dyDescent="0.35">
      <c r="B234" s="15">
        <v>0</v>
      </c>
      <c r="C234" s="16" t="s">
        <v>606</v>
      </c>
      <c r="D234" s="16" t="s">
        <v>173</v>
      </c>
      <c r="E234" s="30">
        <v>2021</v>
      </c>
      <c r="F234" s="17">
        <v>21869</v>
      </c>
      <c r="G234" s="34">
        <v>10.820880752102919</v>
      </c>
      <c r="H234" s="17">
        <v>104</v>
      </c>
      <c r="I234" s="2">
        <v>2100</v>
      </c>
      <c r="J234" s="18">
        <v>20.192307692307693</v>
      </c>
      <c r="K234" s="4">
        <v>-19769</v>
      </c>
      <c r="L234" s="37" t="s">
        <v>1063</v>
      </c>
      <c r="N234" s="19">
        <v>-0.90397366134711232</v>
      </c>
      <c r="P234" s="20" t="s">
        <v>1321</v>
      </c>
    </row>
    <row r="235" spans="2:16" x14ac:dyDescent="0.35">
      <c r="B235" s="15">
        <v>0</v>
      </c>
      <c r="C235" s="16" t="s">
        <v>541</v>
      </c>
      <c r="D235" s="16" t="s">
        <v>209</v>
      </c>
      <c r="E235" s="30">
        <v>2221</v>
      </c>
      <c r="F235" s="17">
        <v>21576</v>
      </c>
      <c r="G235" s="34">
        <v>9.7145429986492573</v>
      </c>
      <c r="H235" s="17">
        <v>0</v>
      </c>
      <c r="I235" s="2">
        <v>0</v>
      </c>
      <c r="J235" s="18">
        <v>0</v>
      </c>
      <c r="K235" s="4">
        <v>-21576</v>
      </c>
      <c r="L235" s="37" t="s">
        <v>845</v>
      </c>
      <c r="N235" s="19">
        <v>-1</v>
      </c>
      <c r="P235" s="20" t="s">
        <v>1286</v>
      </c>
    </row>
    <row r="236" spans="2:16" x14ac:dyDescent="0.35">
      <c r="B236" s="15" t="s">
        <v>841</v>
      </c>
      <c r="C236" s="16" t="s">
        <v>759</v>
      </c>
      <c r="D236" s="16" t="s">
        <v>360</v>
      </c>
      <c r="E236" s="30">
        <v>3601</v>
      </c>
      <c r="F236" s="17">
        <v>56580</v>
      </c>
      <c r="G236" s="34">
        <v>15.712302138294918</v>
      </c>
      <c r="H236" s="17">
        <v>3372</v>
      </c>
      <c r="I236" s="2">
        <v>32305</v>
      </c>
      <c r="J236" s="18">
        <v>9.5803677342823246</v>
      </c>
      <c r="K236" s="4">
        <v>-24275</v>
      </c>
      <c r="L236" s="37"/>
      <c r="N236" s="19">
        <v>-0.42903852951572996</v>
      </c>
      <c r="P236" s="20" t="s">
        <v>1301</v>
      </c>
    </row>
    <row r="237" spans="2:16" x14ac:dyDescent="0.35">
      <c r="B237" s="15">
        <v>0</v>
      </c>
      <c r="C237" s="16" t="s">
        <v>500</v>
      </c>
      <c r="D237" s="16" t="s">
        <v>99</v>
      </c>
      <c r="E237" s="30">
        <v>1767</v>
      </c>
      <c r="F237" s="17">
        <v>25443</v>
      </c>
      <c r="G237" s="34">
        <v>14.398981324278438</v>
      </c>
      <c r="H237" s="17">
        <v>69</v>
      </c>
      <c r="I237" s="2">
        <v>1103</v>
      </c>
      <c r="J237" s="18">
        <v>15.985507246376812</v>
      </c>
      <c r="K237" s="4">
        <v>-24340</v>
      </c>
      <c r="L237" s="37" t="s">
        <v>1063</v>
      </c>
      <c r="N237" s="19">
        <v>-0.95664819400227963</v>
      </c>
      <c r="P237" s="20" t="s">
        <v>1294</v>
      </c>
    </row>
    <row r="238" spans="2:16" x14ac:dyDescent="0.35">
      <c r="B238" s="15" t="s">
        <v>810</v>
      </c>
      <c r="C238" s="16" t="s">
        <v>645</v>
      </c>
      <c r="D238" s="16" t="s">
        <v>18</v>
      </c>
      <c r="E238" s="30">
        <v>27432</v>
      </c>
      <c r="F238" s="17">
        <v>370994</v>
      </c>
      <c r="G238" s="34">
        <v>13.524132400116653</v>
      </c>
      <c r="H238" s="17">
        <v>27965</v>
      </c>
      <c r="I238" s="2">
        <v>342565</v>
      </c>
      <c r="J238" s="18">
        <v>12.249776506347219</v>
      </c>
      <c r="K238" s="4">
        <v>-28429</v>
      </c>
      <c r="L238" s="37"/>
      <c r="N238" s="19">
        <v>-7.6629271632425319E-2</v>
      </c>
      <c r="P238" s="20" t="s">
        <v>1289</v>
      </c>
    </row>
    <row r="239" spans="2:16" x14ac:dyDescent="0.35">
      <c r="B239" s="15" t="s">
        <v>831</v>
      </c>
      <c r="C239" s="16" t="s">
        <v>692</v>
      </c>
      <c r="D239" s="16" t="s">
        <v>133</v>
      </c>
      <c r="E239" s="30">
        <v>4850</v>
      </c>
      <c r="F239" s="17">
        <v>49914</v>
      </c>
      <c r="G239" s="34">
        <v>10.291546391752577</v>
      </c>
      <c r="H239" s="17">
        <v>1973</v>
      </c>
      <c r="I239" s="2">
        <v>21446</v>
      </c>
      <c r="J239" s="18">
        <v>10.869741510390268</v>
      </c>
      <c r="K239" s="4">
        <v>-28468</v>
      </c>
      <c r="L239" s="37"/>
      <c r="N239" s="19">
        <v>-0.57034098649677445</v>
      </c>
      <c r="P239" s="20" t="s">
        <v>1299</v>
      </c>
    </row>
    <row r="240" spans="2:16" x14ac:dyDescent="0.35">
      <c r="B240" s="15" t="e">
        <v>#N/A</v>
      </c>
      <c r="C240" s="16" t="s">
        <v>573</v>
      </c>
      <c r="D240" s="16" t="s">
        <v>233</v>
      </c>
      <c r="E240" s="30">
        <v>2895</v>
      </c>
      <c r="F240" s="17">
        <v>30401</v>
      </c>
      <c r="G240" s="34">
        <v>10.501208981001728</v>
      </c>
      <c r="H240" s="17">
        <v>0</v>
      </c>
      <c r="I240" s="2">
        <v>0</v>
      </c>
      <c r="J240" s="18">
        <v>0</v>
      </c>
      <c r="K240" s="4">
        <v>-30401</v>
      </c>
      <c r="L240" s="37" t="s">
        <v>845</v>
      </c>
      <c r="N240" s="19">
        <v>-1</v>
      </c>
      <c r="P240" s="20" t="e">
        <v>#N/A</v>
      </c>
    </row>
    <row r="241" spans="2:16" x14ac:dyDescent="0.35">
      <c r="B241" s="15" t="e">
        <v>#N/A</v>
      </c>
      <c r="C241" s="16" t="s">
        <v>458</v>
      </c>
      <c r="D241" s="16" t="s">
        <v>183</v>
      </c>
      <c r="E241" s="30">
        <v>4515</v>
      </c>
      <c r="F241" s="17">
        <v>33234</v>
      </c>
      <c r="G241" s="34">
        <v>7.3607973421926909</v>
      </c>
      <c r="H241" s="17">
        <v>0</v>
      </c>
      <c r="I241" s="2">
        <v>2000</v>
      </c>
      <c r="J241" s="18">
        <v>0</v>
      </c>
      <c r="K241" s="4">
        <v>-31234</v>
      </c>
      <c r="L241" s="37" t="s">
        <v>1063</v>
      </c>
      <c r="N241" s="19">
        <v>-0.93982066558343869</v>
      </c>
      <c r="P241" s="20" t="e">
        <v>#N/A</v>
      </c>
    </row>
    <row r="242" spans="2:16" x14ac:dyDescent="0.35">
      <c r="B242" s="15" t="e">
        <v>#N/A</v>
      </c>
      <c r="C242" s="16" t="s">
        <v>440</v>
      </c>
      <c r="D242" s="16" t="s">
        <v>88</v>
      </c>
      <c r="E242" s="30">
        <v>2479</v>
      </c>
      <c r="F242" s="17">
        <v>33435</v>
      </c>
      <c r="G242" s="34">
        <v>13.487293263412667</v>
      </c>
      <c r="H242" s="17">
        <v>0</v>
      </c>
      <c r="I242" s="2">
        <v>368</v>
      </c>
      <c r="J242" s="18">
        <v>0</v>
      </c>
      <c r="K242" s="4">
        <v>-33067</v>
      </c>
      <c r="L242" s="37" t="s">
        <v>1063</v>
      </c>
      <c r="N242" s="19">
        <v>-0.98899356961268137</v>
      </c>
      <c r="P242" s="20" t="e">
        <v>#N/A</v>
      </c>
    </row>
    <row r="243" spans="2:16" x14ac:dyDescent="0.35">
      <c r="B243" s="15" t="s">
        <v>825</v>
      </c>
      <c r="C243" s="16" t="s">
        <v>599</v>
      </c>
      <c r="D243" s="16" t="s">
        <v>49</v>
      </c>
      <c r="E243" s="30">
        <v>3499</v>
      </c>
      <c r="F243" s="17">
        <v>114331</v>
      </c>
      <c r="G243" s="34">
        <v>32.675335810231495</v>
      </c>
      <c r="H243" s="17">
        <v>1931</v>
      </c>
      <c r="I243" s="2">
        <v>80771</v>
      </c>
      <c r="J243" s="18">
        <v>41.828586224754012</v>
      </c>
      <c r="K243" s="4">
        <v>-33560</v>
      </c>
      <c r="L243" s="37"/>
      <c r="N243" s="19">
        <v>-0.29353368727641671</v>
      </c>
      <c r="P243" s="20" t="s">
        <v>1295</v>
      </c>
    </row>
    <row r="244" spans="2:16" x14ac:dyDescent="0.35">
      <c r="B244" s="15" t="s">
        <v>822</v>
      </c>
      <c r="C244" s="16" t="s">
        <v>658</v>
      </c>
      <c r="D244" s="16" t="s">
        <v>57</v>
      </c>
      <c r="E244" s="30">
        <v>0</v>
      </c>
      <c r="F244" s="17">
        <v>61217</v>
      </c>
      <c r="G244" s="34">
        <v>0</v>
      </c>
      <c r="H244" s="17">
        <v>216</v>
      </c>
      <c r="I244" s="2">
        <v>25401</v>
      </c>
      <c r="J244" s="18">
        <v>117.59722222222223</v>
      </c>
      <c r="K244" s="4">
        <v>-35816</v>
      </c>
      <c r="L244" s="37" t="s">
        <v>830</v>
      </c>
      <c r="N244" s="19">
        <v>-0.5850662397699985</v>
      </c>
      <c r="P244" s="20" t="s">
        <v>1293</v>
      </c>
    </row>
    <row r="245" spans="2:16" x14ac:dyDescent="0.35">
      <c r="B245" s="15" t="e">
        <v>#N/A</v>
      </c>
      <c r="C245" s="16" t="s">
        <v>586</v>
      </c>
      <c r="D245" s="16" t="s">
        <v>86</v>
      </c>
      <c r="E245" s="30">
        <v>4590</v>
      </c>
      <c r="F245" s="17">
        <v>39175</v>
      </c>
      <c r="G245" s="34">
        <v>8.5348583877995647</v>
      </c>
      <c r="H245" s="17">
        <v>0</v>
      </c>
      <c r="I245" s="2">
        <v>0</v>
      </c>
      <c r="J245" s="18">
        <v>0</v>
      </c>
      <c r="K245" s="4">
        <v>-39175</v>
      </c>
      <c r="L245" s="37" t="s">
        <v>845</v>
      </c>
      <c r="N245" s="19">
        <v>-1</v>
      </c>
      <c r="P245" s="20" t="e">
        <v>#N/A</v>
      </c>
    </row>
    <row r="246" spans="2:16" x14ac:dyDescent="0.35">
      <c r="B246" s="15" t="s">
        <v>810</v>
      </c>
      <c r="C246" s="16" t="s">
        <v>663</v>
      </c>
      <c r="D246" s="16" t="s">
        <v>68</v>
      </c>
      <c r="E246" s="30">
        <v>3188</v>
      </c>
      <c r="F246" s="17">
        <v>39912</v>
      </c>
      <c r="G246" s="34">
        <v>12.519447929736511</v>
      </c>
      <c r="H246" s="17">
        <v>0</v>
      </c>
      <c r="I246" s="2">
        <v>0</v>
      </c>
      <c r="J246" s="18">
        <v>0</v>
      </c>
      <c r="K246" s="4">
        <v>-39912</v>
      </c>
      <c r="L246" s="37" t="s">
        <v>845</v>
      </c>
      <c r="N246" s="19">
        <v>-1</v>
      </c>
      <c r="P246" s="20" t="s">
        <v>1289</v>
      </c>
    </row>
    <row r="247" spans="2:16" x14ac:dyDescent="0.35">
      <c r="B247" s="15" t="s">
        <v>819</v>
      </c>
      <c r="C247" s="16" t="s">
        <v>660</v>
      </c>
      <c r="D247" s="16" t="s">
        <v>63</v>
      </c>
      <c r="E247" s="30">
        <v>2259</v>
      </c>
      <c r="F247" s="17">
        <v>47115</v>
      </c>
      <c r="G247" s="34">
        <v>20.856573705179283</v>
      </c>
      <c r="H247" s="17">
        <v>92</v>
      </c>
      <c r="I247" s="2">
        <v>821</v>
      </c>
      <c r="J247" s="18">
        <v>8.9239130434782616</v>
      </c>
      <c r="K247" s="4">
        <v>-46294</v>
      </c>
      <c r="L247" s="37" t="s">
        <v>1063</v>
      </c>
      <c r="N247" s="19">
        <v>-0.98257455162899288</v>
      </c>
      <c r="P247" s="20" t="s">
        <v>1321</v>
      </c>
    </row>
    <row r="248" spans="2:16" x14ac:dyDescent="0.35">
      <c r="B248" s="15" t="s">
        <v>829</v>
      </c>
      <c r="C248" s="16" t="s">
        <v>540</v>
      </c>
      <c r="D248" s="16" t="s">
        <v>216</v>
      </c>
      <c r="E248" s="30">
        <v>0</v>
      </c>
      <c r="F248" s="17">
        <v>46622</v>
      </c>
      <c r="G248" s="34">
        <v>0</v>
      </c>
      <c r="H248" s="17">
        <v>0</v>
      </c>
      <c r="I248" s="2">
        <v>0</v>
      </c>
      <c r="J248" s="18">
        <v>0</v>
      </c>
      <c r="K248" s="4">
        <v>-46622</v>
      </c>
      <c r="L248" s="37" t="s">
        <v>845</v>
      </c>
      <c r="N248" s="19">
        <v>-1</v>
      </c>
      <c r="P248" s="20" t="s">
        <v>1286</v>
      </c>
    </row>
    <row r="249" spans="2:16" x14ac:dyDescent="0.35">
      <c r="B249" s="15">
        <v>0</v>
      </c>
      <c r="C249" s="16" t="s">
        <v>439</v>
      </c>
      <c r="D249" s="16" t="s">
        <v>46</v>
      </c>
      <c r="E249" s="30">
        <v>21208</v>
      </c>
      <c r="F249" s="17">
        <v>323298</v>
      </c>
      <c r="G249" s="34">
        <v>15.24415314975481</v>
      </c>
      <c r="H249" s="17">
        <v>21251</v>
      </c>
      <c r="I249" s="2">
        <v>270495</v>
      </c>
      <c r="J249" s="18">
        <v>12.728577478706883</v>
      </c>
      <c r="K249" s="4">
        <v>-52803</v>
      </c>
      <c r="L249" s="37"/>
      <c r="N249" s="19">
        <v>-0.16332609542898502</v>
      </c>
      <c r="P249" s="20" t="s">
        <v>1060</v>
      </c>
    </row>
    <row r="250" spans="2:16" x14ac:dyDescent="0.35">
      <c r="B250" s="15" t="s">
        <v>810</v>
      </c>
      <c r="C250" s="16" t="s">
        <v>642</v>
      </c>
      <c r="D250" s="16" t="s">
        <v>1</v>
      </c>
      <c r="E250" s="30">
        <v>173646</v>
      </c>
      <c r="F250" s="17">
        <v>2737775</v>
      </c>
      <c r="G250" s="34">
        <v>15.766415581124818</v>
      </c>
      <c r="H250" s="17">
        <v>180135</v>
      </c>
      <c r="I250" s="2">
        <v>2684662</v>
      </c>
      <c r="J250" s="18">
        <v>14.903611180503511</v>
      </c>
      <c r="K250" s="4">
        <v>-53113</v>
      </c>
      <c r="L250" s="37"/>
      <c r="N250" s="19">
        <v>-1.9400060267918292E-2</v>
      </c>
      <c r="P250" s="20" t="s">
        <v>1312</v>
      </c>
    </row>
    <row r="251" spans="2:16" x14ac:dyDescent="0.35">
      <c r="B251" s="15">
        <v>0</v>
      </c>
      <c r="C251" s="16" t="s">
        <v>654</v>
      </c>
      <c r="D251" s="16" t="s">
        <v>37</v>
      </c>
      <c r="E251" s="30">
        <v>26984</v>
      </c>
      <c r="F251" s="17">
        <v>578485</v>
      </c>
      <c r="G251" s="34">
        <v>21.438074414467831</v>
      </c>
      <c r="H251" s="17">
        <v>21487</v>
      </c>
      <c r="I251" s="2">
        <v>524212</v>
      </c>
      <c r="J251" s="18">
        <v>24.396704984409176</v>
      </c>
      <c r="K251" s="4">
        <v>-54273</v>
      </c>
      <c r="L251" s="37"/>
      <c r="N251" s="19">
        <v>-9.3819200152121487E-2</v>
      </c>
      <c r="P251" s="20" t="s">
        <v>1060</v>
      </c>
    </row>
    <row r="252" spans="2:16" x14ac:dyDescent="0.35">
      <c r="B252" s="15" t="e">
        <v>#N/A</v>
      </c>
      <c r="C252" s="16" t="s">
        <v>539</v>
      </c>
      <c r="D252" s="16" t="s">
        <v>139</v>
      </c>
      <c r="E252" s="30">
        <v>0</v>
      </c>
      <c r="F252" s="17">
        <v>56231</v>
      </c>
      <c r="G252" s="34">
        <v>0</v>
      </c>
      <c r="H252" s="17">
        <v>0</v>
      </c>
      <c r="I252" s="2">
        <v>0</v>
      </c>
      <c r="J252" s="18">
        <v>0</v>
      </c>
      <c r="K252" s="4">
        <v>-56231</v>
      </c>
      <c r="L252" s="37" t="s">
        <v>845</v>
      </c>
      <c r="N252" s="19">
        <v>-1</v>
      </c>
      <c r="P252" s="20" t="e">
        <v>#N/A</v>
      </c>
    </row>
    <row r="253" spans="2:16" x14ac:dyDescent="0.35">
      <c r="B253" s="15" t="e">
        <v>#N/A</v>
      </c>
      <c r="C253" s="16" t="s">
        <v>676</v>
      </c>
      <c r="D253" s="16" t="s">
        <v>105</v>
      </c>
      <c r="E253" s="30">
        <v>5462</v>
      </c>
      <c r="F253" s="17">
        <v>72729</v>
      </c>
      <c r="G253" s="34">
        <v>13.315452215305749</v>
      </c>
      <c r="H253" s="17">
        <v>1502</v>
      </c>
      <c r="I253" s="2">
        <v>14455</v>
      </c>
      <c r="J253" s="18">
        <v>9.6238348868175763</v>
      </c>
      <c r="K253" s="4">
        <v>-58274</v>
      </c>
      <c r="L253" s="37" t="s">
        <v>1063</v>
      </c>
      <c r="N253" s="19">
        <v>-0.80124847034882918</v>
      </c>
      <c r="P253" s="20" t="e">
        <v>#N/A</v>
      </c>
    </row>
    <row r="254" spans="2:16" x14ac:dyDescent="0.35">
      <c r="B254" s="15">
        <v>0</v>
      </c>
      <c r="C254" s="16" t="s">
        <v>767</v>
      </c>
      <c r="D254" s="16" t="s">
        <v>368</v>
      </c>
      <c r="E254" s="30">
        <v>68642</v>
      </c>
      <c r="F254" s="17">
        <v>321416</v>
      </c>
      <c r="G254" s="34">
        <v>4.6824975962238859</v>
      </c>
      <c r="H254" s="17">
        <v>69593</v>
      </c>
      <c r="I254" s="2">
        <v>259664</v>
      </c>
      <c r="J254" s="18">
        <v>3.7311798600433952</v>
      </c>
      <c r="K254" s="4">
        <v>-61752</v>
      </c>
      <c r="L254" s="37"/>
      <c r="N254" s="19">
        <v>-0.19212484754959305</v>
      </c>
      <c r="P254" s="20" t="s">
        <v>1062</v>
      </c>
    </row>
    <row r="255" spans="2:16" x14ac:dyDescent="0.35">
      <c r="B255" s="15">
        <v>0</v>
      </c>
      <c r="C255" s="16" t="s">
        <v>675</v>
      </c>
      <c r="D255" s="16" t="s">
        <v>104</v>
      </c>
      <c r="E255" s="30">
        <v>7087</v>
      </c>
      <c r="F255" s="17">
        <v>88981</v>
      </c>
      <c r="G255" s="34">
        <v>12.555524199238041</v>
      </c>
      <c r="H255" s="17">
        <v>916</v>
      </c>
      <c r="I255" s="2">
        <v>23359</v>
      </c>
      <c r="J255" s="18">
        <v>25.501091703056769</v>
      </c>
      <c r="K255" s="4">
        <v>-65622</v>
      </c>
      <c r="L255" s="37" t="s">
        <v>1063</v>
      </c>
      <c r="N255" s="19">
        <v>-0.7374832829480451</v>
      </c>
      <c r="P255" s="20" t="s">
        <v>1297</v>
      </c>
    </row>
    <row r="256" spans="2:16" x14ac:dyDescent="0.35">
      <c r="B256" s="15" t="s">
        <v>829</v>
      </c>
      <c r="C256" s="16" t="s">
        <v>543</v>
      </c>
      <c r="D256" s="16" t="s">
        <v>130</v>
      </c>
      <c r="E256" s="30">
        <v>9030</v>
      </c>
      <c r="F256" s="17">
        <v>94298</v>
      </c>
      <c r="G256" s="34">
        <v>10.442746400885936</v>
      </c>
      <c r="H256" s="17">
        <v>565</v>
      </c>
      <c r="I256" s="2">
        <v>12817</v>
      </c>
      <c r="J256" s="18">
        <v>22.684955752212389</v>
      </c>
      <c r="K256" s="4">
        <v>-81481</v>
      </c>
      <c r="L256" s="37" t="s">
        <v>1063</v>
      </c>
      <c r="N256" s="19">
        <v>-0.86407983202188809</v>
      </c>
      <c r="P256" s="20" t="s">
        <v>1293</v>
      </c>
    </row>
    <row r="257" spans="2:16" x14ac:dyDescent="0.35">
      <c r="B257" s="15">
        <v>0</v>
      </c>
      <c r="C257" s="16" t="s">
        <v>418</v>
      </c>
      <c r="D257" s="16" t="s">
        <v>33</v>
      </c>
      <c r="E257" s="30">
        <v>13657</v>
      </c>
      <c r="F257" s="17">
        <v>117685</v>
      </c>
      <c r="G257" s="34">
        <v>8.6171926484586656</v>
      </c>
      <c r="H257" s="17">
        <v>5360</v>
      </c>
      <c r="I257" s="2">
        <v>36161</v>
      </c>
      <c r="J257" s="18">
        <v>6.7464552238805968</v>
      </c>
      <c r="K257" s="4">
        <v>-81524</v>
      </c>
      <c r="L257" s="37"/>
      <c r="N257" s="19">
        <v>-0.69273059438331142</v>
      </c>
      <c r="P257" s="20" t="s">
        <v>1286</v>
      </c>
    </row>
    <row r="258" spans="2:16" x14ac:dyDescent="0.35">
      <c r="B258" s="15">
        <v>0</v>
      </c>
      <c r="C258" s="16" t="s">
        <v>416</v>
      </c>
      <c r="D258" s="16" t="s">
        <v>17</v>
      </c>
      <c r="E258" s="30">
        <v>19380</v>
      </c>
      <c r="F258" s="17">
        <v>244473</v>
      </c>
      <c r="G258" s="34">
        <v>12.614705882352942</v>
      </c>
      <c r="H258" s="17">
        <v>9701</v>
      </c>
      <c r="I258" s="2">
        <v>158095</v>
      </c>
      <c r="J258" s="18">
        <v>16.296773528502218</v>
      </c>
      <c r="K258" s="4">
        <v>-86378</v>
      </c>
      <c r="L258" s="37"/>
      <c r="N258" s="19">
        <v>-0.35332327087244808</v>
      </c>
      <c r="P258" s="20" t="s">
        <v>1314</v>
      </c>
    </row>
    <row r="259" spans="2:16" x14ac:dyDescent="0.35">
      <c r="B259" s="15">
        <v>0</v>
      </c>
      <c r="C259" s="16" t="s">
        <v>473</v>
      </c>
      <c r="D259" s="16" t="s">
        <v>55</v>
      </c>
      <c r="E259" s="30">
        <v>38360</v>
      </c>
      <c r="F259" s="17">
        <v>435362</v>
      </c>
      <c r="G259" s="34">
        <v>11.349374348279458</v>
      </c>
      <c r="H259" s="17">
        <v>33136</v>
      </c>
      <c r="I259" s="2">
        <v>348220</v>
      </c>
      <c r="J259" s="18">
        <v>10.508812168034765</v>
      </c>
      <c r="K259" s="4">
        <v>-87142</v>
      </c>
      <c r="L259" s="37"/>
      <c r="N259" s="19">
        <v>-0.20015986696128737</v>
      </c>
      <c r="P259" s="20" t="s">
        <v>1280</v>
      </c>
    </row>
    <row r="260" spans="2:16" x14ac:dyDescent="0.35">
      <c r="B260" s="15" t="e">
        <v>#N/A</v>
      </c>
      <c r="C260" s="16" t="s">
        <v>671</v>
      </c>
      <c r="D260" s="16" t="s">
        <v>92</v>
      </c>
      <c r="E260" s="30">
        <v>8649</v>
      </c>
      <c r="F260" s="17">
        <v>161444</v>
      </c>
      <c r="G260" s="34">
        <v>18.666204185454966</v>
      </c>
      <c r="H260" s="17">
        <v>0</v>
      </c>
      <c r="I260" s="2">
        <v>73270</v>
      </c>
      <c r="J260" s="18">
        <v>0</v>
      </c>
      <c r="K260" s="4">
        <v>-88174</v>
      </c>
      <c r="L260" s="37"/>
      <c r="N260" s="19">
        <v>-0.54615842025717898</v>
      </c>
      <c r="P260" s="20" t="e">
        <v>#N/A</v>
      </c>
    </row>
    <row r="261" spans="2:16" x14ac:dyDescent="0.35">
      <c r="B261" s="15" t="s">
        <v>834</v>
      </c>
      <c r="C261" s="16" t="s">
        <v>518</v>
      </c>
      <c r="D261" s="16" t="s">
        <v>178</v>
      </c>
      <c r="E261" s="30">
        <v>17483</v>
      </c>
      <c r="F261" s="17">
        <v>179969</v>
      </c>
      <c r="G261" s="34">
        <v>10.293942687181834</v>
      </c>
      <c r="H261" s="17">
        <v>9381</v>
      </c>
      <c r="I261" s="2">
        <v>91150</v>
      </c>
      <c r="J261" s="18">
        <v>9.7164481398571585</v>
      </c>
      <c r="K261" s="4">
        <v>-88819</v>
      </c>
      <c r="L261" s="37"/>
      <c r="N261" s="19">
        <v>-0.49352388466902636</v>
      </c>
      <c r="P261" s="20" t="s">
        <v>1286</v>
      </c>
    </row>
    <row r="262" spans="2:16" x14ac:dyDescent="0.35">
      <c r="B262" s="15" t="s">
        <v>829</v>
      </c>
      <c r="C262" s="16" t="s">
        <v>590</v>
      </c>
      <c r="D262" s="16" t="s">
        <v>128</v>
      </c>
      <c r="E262" s="30">
        <v>6422</v>
      </c>
      <c r="F262" s="17">
        <v>127002</v>
      </c>
      <c r="G262" s="34">
        <v>19.776082217377763</v>
      </c>
      <c r="H262" s="17">
        <v>1728</v>
      </c>
      <c r="I262" s="2">
        <v>37605</v>
      </c>
      <c r="J262" s="18">
        <v>21.762152777777779</v>
      </c>
      <c r="K262" s="4">
        <v>-89397</v>
      </c>
      <c r="L262" s="37" t="s">
        <v>1063</v>
      </c>
      <c r="N262" s="19">
        <v>-0.70390230075116922</v>
      </c>
      <c r="P262" s="20" t="s">
        <v>1281</v>
      </c>
    </row>
    <row r="263" spans="2:16" x14ac:dyDescent="0.35">
      <c r="B263" s="15">
        <v>0</v>
      </c>
      <c r="C263" s="16" t="s">
        <v>483</v>
      </c>
      <c r="D263" s="16" t="s">
        <v>107</v>
      </c>
      <c r="E263" s="30">
        <v>9405</v>
      </c>
      <c r="F263" s="17">
        <v>164705</v>
      </c>
      <c r="G263" s="34">
        <v>17.512493354598618</v>
      </c>
      <c r="H263" s="17">
        <v>4193</v>
      </c>
      <c r="I263" s="2">
        <v>72576</v>
      </c>
      <c r="J263" s="18">
        <v>17.308848080133554</v>
      </c>
      <c r="K263" s="4">
        <v>-92129</v>
      </c>
      <c r="L263" s="37"/>
      <c r="N263" s="19">
        <v>-0.55935763941592542</v>
      </c>
      <c r="P263" s="20" t="s">
        <v>1295</v>
      </c>
    </row>
    <row r="264" spans="2:16" x14ac:dyDescent="0.35">
      <c r="B264" s="15">
        <v>0</v>
      </c>
      <c r="C264" s="16" t="s">
        <v>550</v>
      </c>
      <c r="D264" s="16" t="s">
        <v>169</v>
      </c>
      <c r="E264" s="30">
        <v>217823</v>
      </c>
      <c r="F264" s="17">
        <v>2250838</v>
      </c>
      <c r="G264" s="34">
        <v>10.333334863627808</v>
      </c>
      <c r="H264" s="17">
        <v>184678</v>
      </c>
      <c r="I264" s="2">
        <v>2157078</v>
      </c>
      <c r="J264" s="18">
        <v>11.680210961782128</v>
      </c>
      <c r="K264" s="4">
        <v>-93760</v>
      </c>
      <c r="L264" s="37"/>
      <c r="N264" s="19">
        <v>-4.1655596715534392E-2</v>
      </c>
      <c r="P264" s="20" t="s">
        <v>1295</v>
      </c>
    </row>
    <row r="265" spans="2:16" x14ac:dyDescent="0.35">
      <c r="B265" s="15" t="s">
        <v>821</v>
      </c>
      <c r="C265" s="16" t="s">
        <v>624</v>
      </c>
      <c r="D265" s="16" t="s">
        <v>106</v>
      </c>
      <c r="E265" s="30">
        <v>10762</v>
      </c>
      <c r="F265" s="17">
        <v>100841</v>
      </c>
      <c r="G265" s="34">
        <v>9.370098494703587</v>
      </c>
      <c r="H265" s="17">
        <v>0</v>
      </c>
      <c r="I265" s="2">
        <v>0</v>
      </c>
      <c r="J265" s="18">
        <v>0</v>
      </c>
      <c r="K265" s="4">
        <v>-100841</v>
      </c>
      <c r="L265" s="37" t="s">
        <v>845</v>
      </c>
      <c r="N265" s="19">
        <v>-1</v>
      </c>
      <c r="P265" s="20" t="s">
        <v>1312</v>
      </c>
    </row>
    <row r="266" spans="2:16" x14ac:dyDescent="0.35">
      <c r="B266" s="15" t="s">
        <v>822</v>
      </c>
      <c r="C266" s="16" t="s">
        <v>670</v>
      </c>
      <c r="D266" s="16" t="s">
        <v>89</v>
      </c>
      <c r="E266" s="30">
        <v>12149</v>
      </c>
      <c r="F266" s="17">
        <v>115611</v>
      </c>
      <c r="G266" s="34">
        <v>9.5160918594122972</v>
      </c>
      <c r="H266" s="17">
        <v>1357</v>
      </c>
      <c r="I266" s="2">
        <v>13802</v>
      </c>
      <c r="J266" s="18">
        <v>10.17096536477524</v>
      </c>
      <c r="K266" s="4">
        <v>-101809</v>
      </c>
      <c r="L266" s="37" t="s">
        <v>1063</v>
      </c>
      <c r="N266" s="19">
        <v>-0.88061689631609452</v>
      </c>
      <c r="P266" s="20" t="s">
        <v>1312</v>
      </c>
    </row>
    <row r="267" spans="2:16" x14ac:dyDescent="0.35">
      <c r="B267" s="15" t="s">
        <v>812</v>
      </c>
      <c r="C267" s="16" t="s">
        <v>413</v>
      </c>
      <c r="D267" s="16" t="s">
        <v>7</v>
      </c>
      <c r="E267" s="30">
        <v>175731</v>
      </c>
      <c r="F267" s="17">
        <v>2219326</v>
      </c>
      <c r="G267" s="34">
        <v>12.629109263590374</v>
      </c>
      <c r="H267" s="17">
        <v>166572</v>
      </c>
      <c r="I267" s="2">
        <v>2117058</v>
      </c>
      <c r="J267" s="18">
        <v>12.709567034075354</v>
      </c>
      <c r="K267" s="4">
        <v>-102268</v>
      </c>
      <c r="L267" s="37"/>
      <c r="N267" s="19">
        <v>-4.6080656920164047E-2</v>
      </c>
      <c r="P267" s="20" t="s">
        <v>1060</v>
      </c>
    </row>
    <row r="268" spans="2:16" x14ac:dyDescent="0.35">
      <c r="B268" s="15" t="e">
        <v>#N/A</v>
      </c>
      <c r="C268" s="16" t="s">
        <v>454</v>
      </c>
      <c r="D268" s="16" t="s">
        <v>91</v>
      </c>
      <c r="E268" s="30">
        <v>8194</v>
      </c>
      <c r="F268" s="17">
        <v>103150</v>
      </c>
      <c r="G268" s="34">
        <v>12.58847937515255</v>
      </c>
      <c r="H268" s="17">
        <v>0</v>
      </c>
      <c r="I268" s="2">
        <v>0</v>
      </c>
      <c r="J268" s="18">
        <v>0</v>
      </c>
      <c r="K268" s="4">
        <v>-103150</v>
      </c>
      <c r="L268" s="37" t="s">
        <v>845</v>
      </c>
      <c r="N268" s="19">
        <v>-1</v>
      </c>
      <c r="P268" s="20" t="e">
        <v>#N/A</v>
      </c>
    </row>
    <row r="269" spans="2:16" x14ac:dyDescent="0.35">
      <c r="B269" s="15" t="s">
        <v>823</v>
      </c>
      <c r="C269" s="16" t="s">
        <v>549</v>
      </c>
      <c r="D269" s="16" t="s">
        <v>38</v>
      </c>
      <c r="E269" s="30">
        <v>9933</v>
      </c>
      <c r="F269" s="17">
        <v>283122</v>
      </c>
      <c r="G269" s="34">
        <v>28.503171247357294</v>
      </c>
      <c r="H269" s="17">
        <v>16733</v>
      </c>
      <c r="I269" s="2">
        <v>178127</v>
      </c>
      <c r="J269" s="18">
        <v>10.645251897448157</v>
      </c>
      <c r="K269" s="4">
        <v>-104995</v>
      </c>
      <c r="L269" s="37"/>
      <c r="N269" s="19">
        <v>-0.37084719661488685</v>
      </c>
      <c r="P269" s="20" t="s">
        <v>1293</v>
      </c>
    </row>
    <row r="270" spans="2:16" x14ac:dyDescent="0.35">
      <c r="B270" s="15" t="s">
        <v>820</v>
      </c>
      <c r="C270" s="16" t="s">
        <v>650</v>
      </c>
      <c r="D270" s="16" t="s">
        <v>30</v>
      </c>
      <c r="E270" s="30">
        <v>40451</v>
      </c>
      <c r="F270" s="17">
        <v>532084</v>
      </c>
      <c r="G270" s="34">
        <v>13.153791006402809</v>
      </c>
      <c r="H270" s="17">
        <v>31733</v>
      </c>
      <c r="I270" s="2">
        <v>425603</v>
      </c>
      <c r="J270" s="18">
        <v>13.412000126051744</v>
      </c>
      <c r="K270" s="4">
        <v>-106481</v>
      </c>
      <c r="L270" s="37"/>
      <c r="N270" s="19">
        <v>-0.20012065764052292</v>
      </c>
      <c r="P270" s="20" t="s">
        <v>1300</v>
      </c>
    </row>
    <row r="271" spans="2:16" x14ac:dyDescent="0.35">
      <c r="B271" s="15" t="s">
        <v>819</v>
      </c>
      <c r="C271" s="16" t="s">
        <v>661</v>
      </c>
      <c r="D271" s="16" t="s">
        <v>65</v>
      </c>
      <c r="E271" s="30">
        <v>11638</v>
      </c>
      <c r="F271" s="17">
        <v>118201</v>
      </c>
      <c r="G271" s="34">
        <v>10.156470183880392</v>
      </c>
      <c r="H271" s="17">
        <v>715</v>
      </c>
      <c r="I271" s="2">
        <v>11076</v>
      </c>
      <c r="J271" s="18">
        <v>15.49090909090909</v>
      </c>
      <c r="K271" s="4">
        <v>-107125</v>
      </c>
      <c r="L271" s="37" t="s">
        <v>1063</v>
      </c>
      <c r="N271" s="19">
        <v>-0.90629520900838401</v>
      </c>
      <c r="P271" s="20" t="s">
        <v>1289</v>
      </c>
    </row>
    <row r="272" spans="2:16" x14ac:dyDescent="0.35">
      <c r="B272" s="15">
        <v>0</v>
      </c>
      <c r="C272" s="16" t="s">
        <v>449</v>
      </c>
      <c r="D272" s="16" t="s">
        <v>64</v>
      </c>
      <c r="E272" s="30">
        <v>28940</v>
      </c>
      <c r="F272" s="17">
        <v>291963</v>
      </c>
      <c r="G272" s="34">
        <v>10.088562543192813</v>
      </c>
      <c r="H272" s="17">
        <v>17783</v>
      </c>
      <c r="I272" s="2">
        <v>183791</v>
      </c>
      <c r="J272" s="18">
        <v>10.335207782713828</v>
      </c>
      <c r="K272" s="4">
        <v>-108172</v>
      </c>
      <c r="L272" s="37"/>
      <c r="N272" s="19">
        <v>-0.37049900158581739</v>
      </c>
      <c r="P272" s="20" t="s">
        <v>1292</v>
      </c>
    </row>
    <row r="273" spans="2:16" x14ac:dyDescent="0.35">
      <c r="B273" s="15" t="e">
        <v>#N/A</v>
      </c>
      <c r="C273" s="16" t="s">
        <v>722</v>
      </c>
      <c r="D273" s="16" t="s">
        <v>269</v>
      </c>
      <c r="E273" s="30">
        <v>8427</v>
      </c>
      <c r="F273" s="17">
        <v>229566</v>
      </c>
      <c r="G273" s="34">
        <v>27.241723033107867</v>
      </c>
      <c r="H273" s="17">
        <v>9917</v>
      </c>
      <c r="I273" s="2">
        <v>106218</v>
      </c>
      <c r="J273" s="18">
        <v>10.710698800040335</v>
      </c>
      <c r="K273" s="4">
        <v>-123348</v>
      </c>
      <c r="L273" s="37"/>
      <c r="N273" s="19">
        <v>-0.53730953189932307</v>
      </c>
      <c r="P273" s="20" t="e">
        <v>#N/A</v>
      </c>
    </row>
    <row r="274" spans="2:16" x14ac:dyDescent="0.35">
      <c r="B274" s="15" t="s">
        <v>816</v>
      </c>
      <c r="C274" s="16" t="s">
        <v>592</v>
      </c>
      <c r="D274" s="16" t="s">
        <v>60</v>
      </c>
      <c r="E274" s="30">
        <v>11198</v>
      </c>
      <c r="F274" s="17">
        <v>151746</v>
      </c>
      <c r="G274" s="34">
        <v>13.551169851759242</v>
      </c>
      <c r="H274" s="17">
        <v>56</v>
      </c>
      <c r="I274" s="2">
        <v>18399</v>
      </c>
      <c r="J274" s="18">
        <v>328.55357142857144</v>
      </c>
      <c r="K274" s="4">
        <v>-133347</v>
      </c>
      <c r="L274" s="37" t="s">
        <v>1063</v>
      </c>
      <c r="N274" s="19">
        <v>-0.87875133446680642</v>
      </c>
      <c r="P274" s="20" t="s">
        <v>1321</v>
      </c>
    </row>
    <row r="275" spans="2:16" x14ac:dyDescent="0.35">
      <c r="B275" s="15" t="s">
        <v>828</v>
      </c>
      <c r="C275" s="16" t="s">
        <v>616</v>
      </c>
      <c r="D275" s="16" t="s">
        <v>74</v>
      </c>
      <c r="E275" s="30">
        <v>34666</v>
      </c>
      <c r="F275" s="17">
        <v>404275</v>
      </c>
      <c r="G275" s="34">
        <v>11.662003115444527</v>
      </c>
      <c r="H275" s="17">
        <v>28932</v>
      </c>
      <c r="I275" s="2">
        <v>262726</v>
      </c>
      <c r="J275" s="18">
        <v>9.0808101755841282</v>
      </c>
      <c r="K275" s="4">
        <v>-141549</v>
      </c>
      <c r="L275" s="37"/>
      <c r="N275" s="19">
        <v>-0.35013048048976564</v>
      </c>
      <c r="P275" s="20" t="s">
        <v>1292</v>
      </c>
    </row>
    <row r="276" spans="2:16" x14ac:dyDescent="0.35">
      <c r="B276" s="15">
        <v>0</v>
      </c>
      <c r="C276" s="16" t="s">
        <v>435</v>
      </c>
      <c r="D276" s="16" t="s">
        <v>56</v>
      </c>
      <c r="E276" s="30">
        <v>7683</v>
      </c>
      <c r="F276" s="17">
        <v>147999</v>
      </c>
      <c r="G276" s="34">
        <v>19.263178445919564</v>
      </c>
      <c r="H276" s="17">
        <v>199</v>
      </c>
      <c r="I276" s="2">
        <v>5743</v>
      </c>
      <c r="J276" s="18">
        <v>28.859296482412059</v>
      </c>
      <c r="K276" s="4">
        <v>-142256</v>
      </c>
      <c r="L276" s="37" t="s">
        <v>1063</v>
      </c>
      <c r="N276" s="19">
        <v>-0.96119568375461995</v>
      </c>
      <c r="P276" s="20" t="s">
        <v>1060</v>
      </c>
    </row>
    <row r="277" spans="2:16" x14ac:dyDescent="0.35">
      <c r="B277" s="15">
        <v>0</v>
      </c>
      <c r="C277" s="16" t="s">
        <v>407</v>
      </c>
      <c r="D277" s="16" t="s">
        <v>95</v>
      </c>
      <c r="E277" s="30">
        <v>3202</v>
      </c>
      <c r="F277" s="17">
        <v>257435</v>
      </c>
      <c r="G277" s="34">
        <v>80.398188632104933</v>
      </c>
      <c r="H277" s="17">
        <v>2884</v>
      </c>
      <c r="I277" s="2">
        <v>98194</v>
      </c>
      <c r="J277" s="18">
        <v>34.04785020804438</v>
      </c>
      <c r="K277" s="4">
        <v>-159241</v>
      </c>
      <c r="L277" s="37"/>
      <c r="N277" s="19">
        <v>-0.6185677938120302</v>
      </c>
      <c r="P277" s="20" t="s">
        <v>1314</v>
      </c>
    </row>
    <row r="278" spans="2:16" x14ac:dyDescent="0.35">
      <c r="B278" s="15">
        <v>0</v>
      </c>
      <c r="C278" s="16" t="s">
        <v>395</v>
      </c>
      <c r="D278" s="16" t="s">
        <v>16</v>
      </c>
      <c r="E278" s="30">
        <v>71816</v>
      </c>
      <c r="F278" s="17">
        <v>1160127</v>
      </c>
      <c r="G278" s="34">
        <v>16.154157847833353</v>
      </c>
      <c r="H278" s="17">
        <v>53604</v>
      </c>
      <c r="I278" s="2">
        <v>995355</v>
      </c>
      <c r="J278" s="18">
        <v>18.568670248488917</v>
      </c>
      <c r="K278" s="4">
        <v>-164772</v>
      </c>
      <c r="L278" s="37"/>
      <c r="N278" s="19">
        <v>-0.14202927782906527</v>
      </c>
      <c r="P278" s="20" t="s">
        <v>1292</v>
      </c>
    </row>
    <row r="279" spans="2:16" x14ac:dyDescent="0.35">
      <c r="B279" s="15" t="s">
        <v>817</v>
      </c>
      <c r="C279" s="16" t="s">
        <v>520</v>
      </c>
      <c r="D279" s="16" t="s">
        <v>90</v>
      </c>
      <c r="E279" s="30">
        <v>17202</v>
      </c>
      <c r="F279" s="17">
        <v>203220</v>
      </c>
      <c r="G279" s="34">
        <v>11.813742588071154</v>
      </c>
      <c r="H279" s="17">
        <v>2923</v>
      </c>
      <c r="I279" s="2">
        <v>32626</v>
      </c>
      <c r="J279" s="18">
        <v>11.161820047895997</v>
      </c>
      <c r="K279" s="4">
        <v>-170594</v>
      </c>
      <c r="L279" s="37" t="s">
        <v>1063</v>
      </c>
      <c r="N279" s="19">
        <v>-0.83945477807302427</v>
      </c>
      <c r="P279" s="20" t="s">
        <v>1060</v>
      </c>
    </row>
    <row r="280" spans="2:16" x14ac:dyDescent="0.35">
      <c r="B280" s="15" t="e">
        <v>#N/A</v>
      </c>
      <c r="C280" s="16" t="s">
        <v>647</v>
      </c>
      <c r="D280" s="16" t="s">
        <v>25</v>
      </c>
      <c r="E280" s="30">
        <v>14921</v>
      </c>
      <c r="F280" s="17">
        <v>171248</v>
      </c>
      <c r="G280" s="34">
        <v>11.47697875477515</v>
      </c>
      <c r="H280" s="17">
        <v>0</v>
      </c>
      <c r="I280" s="2">
        <v>0</v>
      </c>
      <c r="J280" s="18">
        <v>0</v>
      </c>
      <c r="K280" s="4">
        <v>-171248</v>
      </c>
      <c r="L280" s="37" t="s">
        <v>845</v>
      </c>
      <c r="N280" s="19">
        <v>-1</v>
      </c>
      <c r="P280" s="20" t="e">
        <v>#N/A</v>
      </c>
    </row>
    <row r="281" spans="2:16" x14ac:dyDescent="0.35">
      <c r="B281" s="15">
        <v>0</v>
      </c>
      <c r="C281" s="16" t="s">
        <v>620</v>
      </c>
      <c r="D281" s="16" t="s">
        <v>21</v>
      </c>
      <c r="E281" s="30">
        <v>35656</v>
      </c>
      <c r="F281" s="17">
        <v>564778</v>
      </c>
      <c r="G281" s="34">
        <v>15.839634283150101</v>
      </c>
      <c r="H281" s="17">
        <v>26155</v>
      </c>
      <c r="I281" s="2">
        <v>391738</v>
      </c>
      <c r="J281" s="18">
        <v>14.97755687249092</v>
      </c>
      <c r="K281" s="4">
        <v>-173040</v>
      </c>
      <c r="L281" s="37"/>
      <c r="N281" s="19">
        <v>-0.3063858719709337</v>
      </c>
      <c r="P281" s="20" t="s">
        <v>1281</v>
      </c>
    </row>
    <row r="282" spans="2:16" x14ac:dyDescent="0.35">
      <c r="B282" s="15" t="s">
        <v>819</v>
      </c>
      <c r="C282" s="16" t="s">
        <v>653</v>
      </c>
      <c r="D282" s="16" t="s">
        <v>36</v>
      </c>
      <c r="E282" s="30">
        <v>20298</v>
      </c>
      <c r="F282" s="17">
        <v>240045</v>
      </c>
      <c r="G282" s="34">
        <v>11.826041974578777</v>
      </c>
      <c r="H282" s="17">
        <v>3217</v>
      </c>
      <c r="I282" s="2">
        <v>66759</v>
      </c>
      <c r="J282" s="18">
        <v>20.751942803854522</v>
      </c>
      <c r="K282" s="4">
        <v>-173286</v>
      </c>
      <c r="L282" s="37" t="s">
        <v>1063</v>
      </c>
      <c r="N282" s="19">
        <v>-0.72188964569143288</v>
      </c>
      <c r="P282" s="20" t="s">
        <v>1321</v>
      </c>
    </row>
    <row r="283" spans="2:16" x14ac:dyDescent="0.35">
      <c r="B283" s="15">
        <v>0</v>
      </c>
      <c r="C283" s="16" t="s">
        <v>479</v>
      </c>
      <c r="D283" s="16" t="s">
        <v>24</v>
      </c>
      <c r="E283" s="30">
        <v>15962</v>
      </c>
      <c r="F283" s="17">
        <v>411132</v>
      </c>
      <c r="G283" s="34">
        <v>25.756922691392056</v>
      </c>
      <c r="H283" s="17">
        <v>7960</v>
      </c>
      <c r="I283" s="2">
        <v>237208</v>
      </c>
      <c r="J283" s="18">
        <v>29.8</v>
      </c>
      <c r="K283" s="4">
        <v>-173924</v>
      </c>
      <c r="L283" s="37"/>
      <c r="N283" s="19">
        <v>-0.42303688353132329</v>
      </c>
      <c r="P283" s="20" t="s">
        <v>1281</v>
      </c>
    </row>
    <row r="284" spans="2:16" x14ac:dyDescent="0.35">
      <c r="B284" s="15" t="s">
        <v>819</v>
      </c>
      <c r="C284" s="16" t="s">
        <v>648</v>
      </c>
      <c r="D284" s="16" t="s">
        <v>27</v>
      </c>
      <c r="E284" s="30">
        <v>19879</v>
      </c>
      <c r="F284" s="17">
        <v>319381</v>
      </c>
      <c r="G284" s="34">
        <v>16.066250817445546</v>
      </c>
      <c r="H284" s="17">
        <v>12747</v>
      </c>
      <c r="I284" s="2">
        <v>137369</v>
      </c>
      <c r="J284" s="18">
        <v>10.776574880364008</v>
      </c>
      <c r="K284" s="4">
        <v>-182012</v>
      </c>
      <c r="L284" s="37"/>
      <c r="N284" s="19">
        <v>-0.56988988073805269</v>
      </c>
      <c r="P284" s="20" t="s">
        <v>1287</v>
      </c>
    </row>
    <row r="285" spans="2:16" x14ac:dyDescent="0.35">
      <c r="B285" s="15">
        <v>0</v>
      </c>
      <c r="C285" s="16" t="s">
        <v>426</v>
      </c>
      <c r="D285" s="16" t="s">
        <v>160</v>
      </c>
      <c r="E285" s="30">
        <v>19669</v>
      </c>
      <c r="F285" s="17">
        <v>185595</v>
      </c>
      <c r="G285" s="34">
        <v>9.4359143830393002</v>
      </c>
      <c r="H285" s="17">
        <v>0</v>
      </c>
      <c r="I285" s="2">
        <v>1017</v>
      </c>
      <c r="J285" s="18">
        <v>0</v>
      </c>
      <c r="K285" s="4">
        <v>-184578</v>
      </c>
      <c r="L285" s="37" t="s">
        <v>1063</v>
      </c>
      <c r="N285" s="19">
        <v>-0.99452032651741695</v>
      </c>
      <c r="P285" s="20" t="s">
        <v>1295</v>
      </c>
    </row>
    <row r="286" spans="2:16" x14ac:dyDescent="0.35">
      <c r="B286" s="15" t="s">
        <v>816</v>
      </c>
      <c r="C286" s="16" t="s">
        <v>584</v>
      </c>
      <c r="D286" s="16" t="s">
        <v>77</v>
      </c>
      <c r="E286" s="30">
        <v>17150</v>
      </c>
      <c r="F286" s="17">
        <v>252978</v>
      </c>
      <c r="G286" s="34">
        <v>14.750903790087463</v>
      </c>
      <c r="H286" s="17">
        <v>4581</v>
      </c>
      <c r="I286" s="2">
        <v>68212</v>
      </c>
      <c r="J286" s="18">
        <v>14.890198646583716</v>
      </c>
      <c r="K286" s="4">
        <v>-184766</v>
      </c>
      <c r="L286" s="37" t="s">
        <v>843</v>
      </c>
      <c r="N286" s="19">
        <v>-0.73036390516171368</v>
      </c>
      <c r="P286" s="20" t="s">
        <v>1294</v>
      </c>
    </row>
    <row r="287" spans="2:16" x14ac:dyDescent="0.35">
      <c r="B287" s="15">
        <v>0</v>
      </c>
      <c r="C287" s="16" t="s">
        <v>400</v>
      </c>
      <c r="D287" s="16" t="s">
        <v>83</v>
      </c>
      <c r="E287" s="30">
        <v>51851</v>
      </c>
      <c r="F287" s="17">
        <v>599465</v>
      </c>
      <c r="G287" s="34">
        <v>11.561300649939248</v>
      </c>
      <c r="H287" s="17">
        <v>31797</v>
      </c>
      <c r="I287" s="2">
        <v>408924</v>
      </c>
      <c r="J287" s="18">
        <v>12.860458533823946</v>
      </c>
      <c r="K287" s="4">
        <v>-190541</v>
      </c>
      <c r="L287" s="37" t="s">
        <v>843</v>
      </c>
      <c r="N287" s="19">
        <v>-0.31785175114477077</v>
      </c>
      <c r="P287" s="20" t="s">
        <v>1286</v>
      </c>
    </row>
    <row r="288" spans="2:16" x14ac:dyDescent="0.35">
      <c r="B288" s="15" t="e">
        <v>#N/A</v>
      </c>
      <c r="C288" s="16" t="s">
        <v>752</v>
      </c>
      <c r="D288" s="16" t="s">
        <v>353</v>
      </c>
      <c r="E288" s="30">
        <v>20390</v>
      </c>
      <c r="F288" s="17">
        <v>211024</v>
      </c>
      <c r="G288" s="34">
        <v>10.349386954389406</v>
      </c>
      <c r="H288" s="17">
        <v>0</v>
      </c>
      <c r="I288" s="2">
        <v>500</v>
      </c>
      <c r="J288" s="18">
        <v>0</v>
      </c>
      <c r="K288" s="4">
        <v>-210524</v>
      </c>
      <c r="L288" s="37" t="s">
        <v>843</v>
      </c>
      <c r="N288" s="19">
        <v>-0.99763060125862457</v>
      </c>
      <c r="P288" s="20" t="e">
        <v>#N/A</v>
      </c>
    </row>
    <row r="289" spans="2:16" x14ac:dyDescent="0.35">
      <c r="B289" s="15">
        <v>0</v>
      </c>
      <c r="C289" s="16" t="s">
        <v>446</v>
      </c>
      <c r="D289" s="16" t="s">
        <v>12</v>
      </c>
      <c r="E289" s="30">
        <v>45825</v>
      </c>
      <c r="F289" s="17">
        <v>666019</v>
      </c>
      <c r="G289" s="34">
        <v>14.533966175668303</v>
      </c>
      <c r="H289" s="17">
        <v>19774</v>
      </c>
      <c r="I289" s="2">
        <v>450821</v>
      </c>
      <c r="J289" s="18">
        <v>22.798675027814301</v>
      </c>
      <c r="K289" s="4">
        <v>-215198</v>
      </c>
      <c r="L289" s="37" t="s">
        <v>843</v>
      </c>
      <c r="N289" s="19">
        <v>-0.32311090224152766</v>
      </c>
      <c r="P289" s="20" t="s">
        <v>1060</v>
      </c>
    </row>
    <row r="290" spans="2:16" x14ac:dyDescent="0.35">
      <c r="B290" s="15" t="s">
        <v>815</v>
      </c>
      <c r="C290" s="16" t="s">
        <v>683</v>
      </c>
      <c r="D290" s="16" t="s">
        <v>119</v>
      </c>
      <c r="E290" s="30">
        <v>103900</v>
      </c>
      <c r="F290" s="17">
        <v>828724</v>
      </c>
      <c r="G290" s="34">
        <v>7.976169393647738</v>
      </c>
      <c r="H290" s="17">
        <v>73541</v>
      </c>
      <c r="I290" s="2">
        <v>581165</v>
      </c>
      <c r="J290" s="18">
        <v>7.9025985504684462</v>
      </c>
      <c r="K290" s="4">
        <v>-247559</v>
      </c>
      <c r="L290" s="37" t="s">
        <v>843</v>
      </c>
      <c r="N290" s="19">
        <v>-0.29872309719520612</v>
      </c>
      <c r="P290" s="20" t="s">
        <v>1300</v>
      </c>
    </row>
    <row r="291" spans="2:16" x14ac:dyDescent="0.35">
      <c r="B291" s="15" t="e">
        <v>#N/A</v>
      </c>
      <c r="C291" s="16" t="e">
        <v>#N/A</v>
      </c>
      <c r="D291" s="16" t="s">
        <v>103</v>
      </c>
      <c r="E291" s="30">
        <v>18432</v>
      </c>
      <c r="F291" s="17">
        <v>277792</v>
      </c>
      <c r="G291" s="34">
        <v>15.071180555555555</v>
      </c>
      <c r="H291" s="17">
        <v>178</v>
      </c>
      <c r="I291" s="2">
        <v>2512</v>
      </c>
      <c r="J291" s="18">
        <v>14.112359550561798</v>
      </c>
      <c r="K291" s="4">
        <v>-275280</v>
      </c>
      <c r="L291" s="37" t="s">
        <v>843</v>
      </c>
      <c r="N291" s="19">
        <v>-0.99095726298813502</v>
      </c>
      <c r="P291" s="20" t="e">
        <v>#N/A</v>
      </c>
    </row>
    <row r="292" spans="2:16" x14ac:dyDescent="0.35">
      <c r="B292" s="15">
        <v>0</v>
      </c>
      <c r="C292" s="16" t="s">
        <v>397</v>
      </c>
      <c r="D292" s="16" t="s">
        <v>174</v>
      </c>
      <c r="E292" s="30">
        <v>36934</v>
      </c>
      <c r="F292" s="17">
        <v>584833</v>
      </c>
      <c r="G292" s="34">
        <v>15.834542697785238</v>
      </c>
      <c r="H292" s="17">
        <v>15732</v>
      </c>
      <c r="I292" s="2">
        <v>305720</v>
      </c>
      <c r="J292" s="18">
        <v>19.433002796847191</v>
      </c>
      <c r="K292" s="4">
        <v>-279113</v>
      </c>
      <c r="L292" s="37" t="s">
        <v>843</v>
      </c>
      <c r="N292" s="19">
        <v>-0.4772524806226735</v>
      </c>
      <c r="P292" s="20" t="s">
        <v>1286</v>
      </c>
    </row>
    <row r="293" spans="2:16" x14ac:dyDescent="0.35">
      <c r="B293" s="15">
        <v>0</v>
      </c>
      <c r="C293" s="16" t="s">
        <v>396</v>
      </c>
      <c r="D293" s="16" t="s">
        <v>9</v>
      </c>
      <c r="E293" s="30">
        <v>102946</v>
      </c>
      <c r="F293" s="17">
        <v>1233967</v>
      </c>
      <c r="G293" s="34">
        <v>11.986546344685562</v>
      </c>
      <c r="H293" s="17">
        <v>69443</v>
      </c>
      <c r="I293" s="2">
        <v>842884</v>
      </c>
      <c r="J293" s="18">
        <v>12.13778206586697</v>
      </c>
      <c r="K293" s="4">
        <v>-391083</v>
      </c>
      <c r="L293" s="37" t="s">
        <v>843</v>
      </c>
      <c r="N293" s="19">
        <v>-0.31693149006415894</v>
      </c>
      <c r="P293" s="20" t="s">
        <v>1314</v>
      </c>
    </row>
    <row r="294" spans="2:16" x14ac:dyDescent="0.35">
      <c r="B294" s="15" t="s">
        <v>815</v>
      </c>
      <c r="C294" s="16" t="s">
        <v>657</v>
      </c>
      <c r="D294" s="16" t="s">
        <v>53</v>
      </c>
      <c r="E294" s="30">
        <v>50006</v>
      </c>
      <c r="F294" s="17">
        <v>490996</v>
      </c>
      <c r="G294" s="34">
        <v>9.8187417509898811</v>
      </c>
      <c r="H294" s="17">
        <v>0</v>
      </c>
      <c r="I294" s="2">
        <v>0</v>
      </c>
      <c r="J294" s="18">
        <v>0</v>
      </c>
      <c r="K294" s="4">
        <v>-490996</v>
      </c>
      <c r="L294" s="37" t="s">
        <v>845</v>
      </c>
      <c r="N294" s="19">
        <v>-1</v>
      </c>
      <c r="P294" s="20" t="s">
        <v>1280</v>
      </c>
    </row>
    <row r="295" spans="2:16" x14ac:dyDescent="0.35">
      <c r="B295" s="15" t="s">
        <v>817</v>
      </c>
      <c r="C295" s="16" t="s">
        <v>472</v>
      </c>
      <c r="D295" s="16" t="s">
        <v>20</v>
      </c>
      <c r="E295" s="30">
        <v>54749</v>
      </c>
      <c r="F295" s="17">
        <v>713391</v>
      </c>
      <c r="G295" s="34">
        <v>13.030210597453834</v>
      </c>
      <c r="H295" s="17">
        <v>14198</v>
      </c>
      <c r="I295" s="2">
        <v>188041</v>
      </c>
      <c r="J295" s="18">
        <v>13.24418932243978</v>
      </c>
      <c r="K295" s="4">
        <v>-525350</v>
      </c>
      <c r="L295" s="37" t="s">
        <v>843</v>
      </c>
      <c r="N295" s="19">
        <v>-0.73641243021008118</v>
      </c>
      <c r="P295" s="20" t="s">
        <v>1281</v>
      </c>
    </row>
    <row r="296" spans="2:16" x14ac:dyDescent="0.35">
      <c r="B296" s="15" t="s">
        <v>822</v>
      </c>
      <c r="C296" s="16" t="s">
        <v>652</v>
      </c>
      <c r="D296" s="16" t="s">
        <v>35</v>
      </c>
      <c r="E296" s="30">
        <v>27411</v>
      </c>
      <c r="F296" s="17">
        <v>669191</v>
      </c>
      <c r="G296" s="34">
        <v>24.413228266024589</v>
      </c>
      <c r="H296" s="17">
        <v>5186</v>
      </c>
      <c r="I296" s="2">
        <v>123843</v>
      </c>
      <c r="J296" s="18">
        <v>23.880254531430776</v>
      </c>
      <c r="K296" s="4">
        <v>-545348</v>
      </c>
      <c r="L296" s="37" t="s">
        <v>843</v>
      </c>
      <c r="N296" s="19">
        <v>-0.81493624391242558</v>
      </c>
      <c r="P296" s="20" t="s">
        <v>1289</v>
      </c>
    </row>
    <row r="297" spans="2:16" x14ac:dyDescent="0.35">
      <c r="B297" s="15">
        <v>0</v>
      </c>
      <c r="C297" s="16" t="s">
        <v>398</v>
      </c>
      <c r="D297" s="16" t="s">
        <v>4</v>
      </c>
      <c r="E297" s="30">
        <v>240379</v>
      </c>
      <c r="F297" s="17">
        <v>4789128</v>
      </c>
      <c r="G297" s="34">
        <v>19.923237886837036</v>
      </c>
      <c r="H297" s="17">
        <v>188017</v>
      </c>
      <c r="I297" s="2">
        <v>4243124</v>
      </c>
      <c r="J297" s="18">
        <v>22.567767808230109</v>
      </c>
      <c r="K297" s="4">
        <v>-546004</v>
      </c>
      <c r="L297" s="37" t="s">
        <v>843</v>
      </c>
      <c r="N297" s="19">
        <v>-0.11400906386298298</v>
      </c>
      <c r="P297" s="20" t="s">
        <v>1321</v>
      </c>
    </row>
    <row r="298" spans="2:16" x14ac:dyDescent="0.35">
      <c r="B298" s="15" t="s">
        <v>837</v>
      </c>
      <c r="C298" s="16" t="s">
        <v>756</v>
      </c>
      <c r="D298" s="16" t="s">
        <v>357</v>
      </c>
      <c r="E298" s="30">
        <v>80557</v>
      </c>
      <c r="F298" s="17">
        <v>976001</v>
      </c>
      <c r="G298" s="34">
        <v>12.115657236490932</v>
      </c>
      <c r="H298" s="17">
        <v>25376</v>
      </c>
      <c r="I298" s="2">
        <v>309404</v>
      </c>
      <c r="J298" s="18">
        <v>12.192780580075661</v>
      </c>
      <c r="K298" s="4">
        <v>-666597</v>
      </c>
      <c r="L298" s="37" t="s">
        <v>843</v>
      </c>
      <c r="N298" s="19">
        <v>-0.68298802972537942</v>
      </c>
      <c r="P298" s="20" t="s">
        <v>1336</v>
      </c>
    </row>
    <row r="299" spans="2:16" x14ac:dyDescent="0.35">
      <c r="B299" s="15" t="s">
        <v>815</v>
      </c>
      <c r="C299" s="16" t="s">
        <v>656</v>
      </c>
      <c r="D299" s="16" t="s">
        <v>52</v>
      </c>
      <c r="E299" s="30">
        <v>77496</v>
      </c>
      <c r="F299" s="17">
        <v>1052309</v>
      </c>
      <c r="G299" s="34">
        <v>13.578881490657583</v>
      </c>
      <c r="H299" s="17">
        <v>25764</v>
      </c>
      <c r="I299" s="2">
        <v>353768</v>
      </c>
      <c r="J299" s="18">
        <v>13.731097655643534</v>
      </c>
      <c r="K299" s="4">
        <v>-698541</v>
      </c>
      <c r="L299" s="37" t="s">
        <v>843</v>
      </c>
      <c r="N299" s="19">
        <v>-0.66381737683513109</v>
      </c>
      <c r="P299" s="20" t="s">
        <v>1294</v>
      </c>
    </row>
    <row r="300" spans="2:16" x14ac:dyDescent="0.35">
      <c r="B300" s="15" t="s">
        <v>822</v>
      </c>
      <c r="C300" s="16" t="s">
        <v>672</v>
      </c>
      <c r="D300" s="16" t="s">
        <v>370</v>
      </c>
      <c r="E300" s="30">
        <v>453590</v>
      </c>
      <c r="F300" s="17">
        <v>3099671</v>
      </c>
      <c r="G300" s="34">
        <v>6.8336405123569746</v>
      </c>
      <c r="H300" s="17">
        <v>282015</v>
      </c>
      <c r="I300" s="2">
        <v>2236963</v>
      </c>
      <c r="J300" s="18">
        <v>7.932070989131784</v>
      </c>
      <c r="K300" s="4">
        <v>-862708</v>
      </c>
      <c r="L300" s="37" t="s">
        <v>843</v>
      </c>
      <c r="N300" s="19">
        <v>-0.27832244131715916</v>
      </c>
      <c r="P300" s="20" t="s">
        <v>1300</v>
      </c>
    </row>
    <row r="301" spans="2:16" x14ac:dyDescent="0.35">
      <c r="B301" s="15" t="s">
        <v>815</v>
      </c>
      <c r="C301" s="16" t="s">
        <v>664</v>
      </c>
      <c r="D301" s="16" t="s">
        <v>73</v>
      </c>
      <c r="E301" s="30">
        <v>116324</v>
      </c>
      <c r="F301" s="17">
        <v>930927</v>
      </c>
      <c r="G301" s="34">
        <v>8.0028798872115807</v>
      </c>
      <c r="H301" s="17">
        <v>559</v>
      </c>
      <c r="I301" s="2">
        <v>41810</v>
      </c>
      <c r="J301" s="18">
        <v>74.794275491949904</v>
      </c>
      <c r="K301" s="4">
        <v>-889117</v>
      </c>
      <c r="L301" s="37" t="s">
        <v>843</v>
      </c>
      <c r="N301" s="19">
        <v>-0.95508777809645651</v>
      </c>
      <c r="P301" s="20" t="s">
        <v>1287</v>
      </c>
    </row>
    <row r="302" spans="2:16" x14ac:dyDescent="0.35">
      <c r="B302" s="15" t="s">
        <v>837</v>
      </c>
      <c r="C302" s="16" t="s">
        <v>751</v>
      </c>
      <c r="D302" s="16" t="s">
        <v>352</v>
      </c>
      <c r="E302" s="30">
        <v>382278</v>
      </c>
      <c r="F302" s="17">
        <v>3383603</v>
      </c>
      <c r="G302" s="34">
        <v>8.8511580577485489</v>
      </c>
      <c r="H302" s="17">
        <v>246977</v>
      </c>
      <c r="I302" s="2">
        <v>2274867</v>
      </c>
      <c r="J302" s="18">
        <v>9.2108455443219412</v>
      </c>
      <c r="K302" s="4">
        <v>-1108736</v>
      </c>
      <c r="L302" s="37" t="s">
        <v>843</v>
      </c>
      <c r="N302" s="19">
        <v>-0.32767910419750779</v>
      </c>
      <c r="P302" s="20" t="s">
        <v>1297</v>
      </c>
    </row>
    <row r="303" spans="2:16" x14ac:dyDescent="0.35">
      <c r="B303" s="15" t="e">
        <v>#N/A</v>
      </c>
      <c r="C303" s="16" t="s">
        <v>436</v>
      </c>
      <c r="D303" s="16" t="s">
        <v>8</v>
      </c>
      <c r="E303" s="30">
        <v>170973</v>
      </c>
      <c r="F303" s="17">
        <v>2371192</v>
      </c>
      <c r="G303" s="34">
        <v>13.868809695098056</v>
      </c>
      <c r="H303" s="17">
        <v>71189</v>
      </c>
      <c r="I303" s="2">
        <v>1211446</v>
      </c>
      <c r="J303" s="18">
        <v>17.017320091587184</v>
      </c>
      <c r="K303" s="4">
        <v>-1159746</v>
      </c>
      <c r="L303" s="37" t="s">
        <v>843</v>
      </c>
      <c r="N303" s="19">
        <v>-0.48909831004827953</v>
      </c>
      <c r="P303" s="20" t="e">
        <v>#N/A</v>
      </c>
    </row>
    <row r="304" spans="2:16" x14ac:dyDescent="0.35">
      <c r="B304" s="15">
        <v>0</v>
      </c>
      <c r="C304" s="16" t="s">
        <v>545</v>
      </c>
      <c r="D304" s="16" t="s">
        <v>2</v>
      </c>
      <c r="E304" s="30">
        <v>388676</v>
      </c>
      <c r="F304" s="17">
        <v>3803821</v>
      </c>
      <c r="G304" s="34">
        <v>9.7866114707365526</v>
      </c>
      <c r="H304" s="17">
        <v>247672</v>
      </c>
      <c r="I304" s="2">
        <v>2475881</v>
      </c>
      <c r="J304" s="18">
        <v>9.9966124551826603</v>
      </c>
      <c r="K304" s="4">
        <v>-1327940</v>
      </c>
      <c r="L304" s="37" t="s">
        <v>843</v>
      </c>
      <c r="N304" s="19">
        <v>-0.34910685860349372</v>
      </c>
      <c r="P304" s="20" t="s">
        <v>1285</v>
      </c>
    </row>
    <row r="305" spans="2:16" ht="15" thickBot="1" x14ac:dyDescent="0.4">
      <c r="B305" s="22">
        <v>0</v>
      </c>
      <c r="C305" s="23" t="s">
        <v>643</v>
      </c>
      <c r="D305" s="23" t="s">
        <v>5</v>
      </c>
      <c r="E305" s="49">
        <v>924632</v>
      </c>
      <c r="F305" s="33">
        <v>12371634</v>
      </c>
      <c r="G305" s="35">
        <v>13.380062554616323</v>
      </c>
      <c r="H305" s="33">
        <v>781426</v>
      </c>
      <c r="I305" s="24">
        <v>10747279</v>
      </c>
      <c r="J305" s="25">
        <v>13.753418749824039</v>
      </c>
      <c r="K305" s="26">
        <v>-1624355</v>
      </c>
      <c r="L305" s="38" t="s">
        <v>843</v>
      </c>
      <c r="M305" s="27"/>
      <c r="N305" s="28">
        <v>-0.13129672280961432</v>
      </c>
      <c r="O305" s="27"/>
      <c r="P305" s="29" t="s">
        <v>1312</v>
      </c>
    </row>
  </sheetData>
  <autoFilter ref="B2:P2" xr:uid="{A7A4B58B-0F71-4066-BD1D-ABA422C2B8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2F64-29D1-48B9-8390-0D57D0E1A6FB}">
  <dimension ref="B2:H9"/>
  <sheetViews>
    <sheetView workbookViewId="0">
      <selection activeCell="E2" sqref="E2"/>
    </sheetView>
  </sheetViews>
  <sheetFormatPr defaultRowHeight="14.5" x14ac:dyDescent="0.35"/>
  <cols>
    <col min="2" max="2" width="0" hidden="1" customWidth="1"/>
    <col min="3" max="3" width="39.1796875" hidden="1" customWidth="1"/>
    <col min="4" max="4" width="58" hidden="1" customWidth="1"/>
    <col min="5" max="5" width="10.81640625" bestFit="1" customWidth="1"/>
    <col min="6" max="6" width="1.81640625" bestFit="1" customWidth="1"/>
    <col min="7" max="7" width="100.1796875" bestFit="1" customWidth="1"/>
    <col min="8" max="8" width="52.08984375" bestFit="1" customWidth="1"/>
  </cols>
  <sheetData>
    <row r="2" spans="2:8" x14ac:dyDescent="0.35">
      <c r="B2" t="s">
        <v>1064</v>
      </c>
      <c r="C2" t="s">
        <v>1725</v>
      </c>
      <c r="G2" t="s">
        <v>1763</v>
      </c>
    </row>
    <row r="3" spans="2:8" x14ac:dyDescent="0.35">
      <c r="B3">
        <v>1</v>
      </c>
      <c r="C3" t="s">
        <v>1065</v>
      </c>
      <c r="D3" t="s">
        <v>1762</v>
      </c>
      <c r="E3" s="91"/>
      <c r="F3" s="91">
        <v>1</v>
      </c>
      <c r="G3" s="91" t="s">
        <v>1752</v>
      </c>
      <c r="H3" s="91" t="s">
        <v>1061</v>
      </c>
    </row>
    <row r="4" spans="2:8" x14ac:dyDescent="0.35">
      <c r="B4">
        <v>2</v>
      </c>
      <c r="C4" t="s">
        <v>1066</v>
      </c>
      <c r="D4" t="s">
        <v>1070</v>
      </c>
      <c r="E4" s="91"/>
      <c r="F4" s="91">
        <v>2</v>
      </c>
      <c r="G4" s="91" t="s">
        <v>1753</v>
      </c>
      <c r="H4" s="91" t="s">
        <v>1061</v>
      </c>
    </row>
    <row r="5" spans="2:8" x14ac:dyDescent="0.35">
      <c r="B5">
        <v>3</v>
      </c>
      <c r="C5" t="s">
        <v>1067</v>
      </c>
      <c r="D5" t="s">
        <v>1071</v>
      </c>
      <c r="E5" s="91"/>
      <c r="F5" s="91" t="s">
        <v>1061</v>
      </c>
      <c r="G5" s="91" t="s">
        <v>1754</v>
      </c>
      <c r="H5" s="91" t="s">
        <v>1061</v>
      </c>
    </row>
    <row r="6" spans="2:8" ht="116" x14ac:dyDescent="0.35">
      <c r="B6">
        <v>4</v>
      </c>
      <c r="C6" t="s">
        <v>1068</v>
      </c>
      <c r="D6" t="s">
        <v>1069</v>
      </c>
      <c r="E6" s="91" t="s">
        <v>845</v>
      </c>
      <c r="F6" s="91">
        <v>3</v>
      </c>
      <c r="G6" s="91" t="s">
        <v>1758</v>
      </c>
      <c r="H6" s="92" t="s">
        <v>1755</v>
      </c>
    </row>
    <row r="7" spans="2:8" x14ac:dyDescent="0.35">
      <c r="E7" s="91" t="s">
        <v>842</v>
      </c>
      <c r="F7" s="91">
        <v>4</v>
      </c>
      <c r="G7" s="91" t="s">
        <v>1759</v>
      </c>
      <c r="H7" s="91" t="s">
        <v>1756</v>
      </c>
    </row>
    <row r="8" spans="2:8" x14ac:dyDescent="0.35">
      <c r="E8" s="91" t="s">
        <v>843</v>
      </c>
      <c r="F8" s="91">
        <v>5</v>
      </c>
      <c r="G8" s="91" t="s">
        <v>1760</v>
      </c>
      <c r="H8" s="91" t="s">
        <v>1757</v>
      </c>
    </row>
    <row r="9" spans="2:8" x14ac:dyDescent="0.35">
      <c r="E9" s="91" t="s">
        <v>1068</v>
      </c>
      <c r="F9" s="91">
        <v>6</v>
      </c>
      <c r="G9" s="91" t="s">
        <v>1761</v>
      </c>
      <c r="H9" s="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D3F0-1150-4F02-917C-D788979FBE11}">
  <dimension ref="B2:L145"/>
  <sheetViews>
    <sheetView tabSelected="1" zoomScale="75" workbookViewId="0">
      <selection activeCell="A2" sqref="A2"/>
    </sheetView>
  </sheetViews>
  <sheetFormatPr defaultRowHeight="14.5" x14ac:dyDescent="0.35"/>
  <cols>
    <col min="2" max="2" width="43.6328125" bestFit="1" customWidth="1"/>
    <col min="3" max="3" width="16.453125" bestFit="1" customWidth="1"/>
    <col min="4" max="4" width="16" bestFit="1" customWidth="1"/>
    <col min="5" max="5" width="14.36328125" bestFit="1" customWidth="1"/>
    <col min="6" max="6" width="12.54296875" bestFit="1" customWidth="1"/>
    <col min="7" max="7" width="12.90625" bestFit="1" customWidth="1"/>
    <col min="8" max="8" width="13" customWidth="1"/>
    <col min="9" max="9" width="73.81640625" customWidth="1"/>
    <col min="10" max="10" width="11.81640625" customWidth="1"/>
    <col min="11" max="11" width="10.90625" bestFit="1" customWidth="1"/>
    <col min="12" max="12" width="10.90625" customWidth="1"/>
  </cols>
  <sheetData>
    <row r="2" spans="2:9" x14ac:dyDescent="0.35">
      <c r="B2" s="14"/>
      <c r="C2" s="50" t="s">
        <v>1606</v>
      </c>
      <c r="D2" s="50" t="s">
        <v>1607</v>
      </c>
    </row>
    <row r="3" spans="2:9" x14ac:dyDescent="0.35">
      <c r="B3" s="5" t="s">
        <v>846</v>
      </c>
      <c r="C3" s="5">
        <v>348</v>
      </c>
      <c r="D3" s="5">
        <f>COUNTIF(Base!I3:I437, "&lt;&gt;0")</f>
        <v>387</v>
      </c>
    </row>
    <row r="4" spans="2:9" x14ac:dyDescent="0.35">
      <c r="B4" s="5" t="s">
        <v>847</v>
      </c>
      <c r="C4" s="5">
        <v>227</v>
      </c>
      <c r="D4" s="5">
        <f>COUNTIF(Base!K4:K437, "&gt;0")</f>
        <v>223</v>
      </c>
    </row>
    <row r="5" spans="2:9" x14ac:dyDescent="0.35">
      <c r="B5" s="5" t="s">
        <v>848</v>
      </c>
      <c r="C5" s="5">
        <v>163</v>
      </c>
      <c r="D5" s="5">
        <f>COUNTIF(Base!K5:K437, "&lt;0")</f>
        <v>211</v>
      </c>
    </row>
    <row r="6" spans="2:9" x14ac:dyDescent="0.35">
      <c r="B6" s="5" t="s">
        <v>849</v>
      </c>
      <c r="C6" s="13">
        <v>1.3926380368098159</v>
      </c>
      <c r="D6" s="13">
        <f>D4/D5</f>
        <v>1.0568720379146919</v>
      </c>
    </row>
    <row r="7" spans="2:9" x14ac:dyDescent="0.35">
      <c r="B7" s="5" t="s">
        <v>850</v>
      </c>
      <c r="C7" s="5">
        <v>43</v>
      </c>
      <c r="D7" s="5">
        <f>COUNTIF(Base!$M:$M,"Churn client")</f>
        <v>48</v>
      </c>
    </row>
    <row r="8" spans="2:9" x14ac:dyDescent="0.35">
      <c r="B8" s="5" t="s">
        <v>851</v>
      </c>
      <c r="C8" s="5">
        <v>27</v>
      </c>
      <c r="D8" s="5">
        <f>COUNTIF(Base!$M:$M,"Near Churn")</f>
        <v>35</v>
      </c>
    </row>
    <row r="9" spans="2:9" x14ac:dyDescent="0.35">
      <c r="C9" s="6"/>
    </row>
    <row r="10" spans="2:9" x14ac:dyDescent="0.35">
      <c r="C10" s="1">
        <f>SUM(C12:C59)</f>
        <v>5919958.2860000003</v>
      </c>
      <c r="D10" s="1"/>
    </row>
    <row r="11" spans="2:9" x14ac:dyDescent="0.35">
      <c r="B11" s="7" t="s">
        <v>852</v>
      </c>
      <c r="C11" s="7" t="s">
        <v>1608</v>
      </c>
      <c r="D11" s="7" t="s">
        <v>853</v>
      </c>
      <c r="E11" s="7" t="s">
        <v>854</v>
      </c>
      <c r="F11" s="74" t="s">
        <v>855</v>
      </c>
      <c r="G11" s="74"/>
      <c r="H11" s="74"/>
      <c r="I11" s="74"/>
    </row>
    <row r="12" spans="2:9" ht="14.4" customHeight="1" x14ac:dyDescent="0.35">
      <c r="B12" s="8" t="str" cm="1">
        <f t="array" ref="B12:B59">_xlfn._xlws.FILTER(Base!D:D,Base!M:M="Churn client", "No clients found")</f>
        <v>XCELL SUPPLY CHAIN SOLUTIONS PRIVATE LIMITED</v>
      </c>
      <c r="C12" s="9">
        <f>SUMIFS(Base!F:F,Base!D:D,view!B12)</f>
        <v>450</v>
      </c>
      <c r="D12" s="9"/>
      <c r="E12" s="5" t="str">
        <f>_xlfn.XLOOKUP($B12,Base!D:D,Base!R:R)</f>
        <v>Deepak Jha</v>
      </c>
      <c r="F12" s="71"/>
      <c r="G12" s="72"/>
      <c r="H12" s="72"/>
      <c r="I12" s="73"/>
    </row>
    <row r="13" spans="2:9" ht="14.4" customHeight="1" x14ac:dyDescent="0.35">
      <c r="B13" s="8" t="str">
        <v>SHREE MARUTI INTEGRATED LOGISTICS LIMITED</v>
      </c>
      <c r="C13" s="9">
        <f>SUMIFS(Base!F:F,Base!D:D,view!B13)</f>
        <v>515.79999999999995</v>
      </c>
      <c r="D13" s="9"/>
      <c r="E13" s="5" t="str">
        <f>_xlfn.XLOOKUP($B13,Base!D:D,Base!R:R)</f>
        <v>Pratik</v>
      </c>
      <c r="F13" s="71"/>
      <c r="G13" s="72"/>
      <c r="H13" s="72"/>
      <c r="I13" s="73"/>
    </row>
    <row r="14" spans="2:9" ht="14.4" customHeight="1" x14ac:dyDescent="0.35">
      <c r="B14" s="8" t="str">
        <v>SHIP AGGREGATOR TECHNOLOGY PRIVATE LIMITED</v>
      </c>
      <c r="C14" s="9">
        <f>SUMIFS(Base!F:F,Base!D:D,view!B14)</f>
        <v>1234</v>
      </c>
      <c r="D14" s="9"/>
      <c r="E14" s="5" t="str">
        <f>_xlfn.XLOOKUP($B14,Base!D:D,Base!R:R)</f>
        <v>Suraj</v>
      </c>
      <c r="F14" s="71"/>
      <c r="G14" s="72"/>
      <c r="H14" s="72"/>
      <c r="I14" s="73"/>
    </row>
    <row r="15" spans="2:9" ht="14.4" customHeight="1" x14ac:dyDescent="0.35">
      <c r="B15" s="8" t="str">
        <v>INNISFREE COSMETICS INDIA PVT LTD</v>
      </c>
      <c r="C15" s="9">
        <f>SUMIFS(Base!F:F,Base!D:D,view!B15)</f>
        <v>1279.4960000000001</v>
      </c>
      <c r="D15" s="9"/>
      <c r="E15" s="5" t="str">
        <f>_xlfn.XLOOKUP($B15,Base!D:D,Base!R:R)</f>
        <v>Aman</v>
      </c>
      <c r="F15" s="71"/>
      <c r="G15" s="72"/>
      <c r="H15" s="72"/>
      <c r="I15" s="73"/>
    </row>
    <row r="16" spans="2:9" ht="14.4" customHeight="1" x14ac:dyDescent="0.35">
      <c r="B16" s="8" t="str">
        <v>ShaTab Consulting and Distribution Private Limited</v>
      </c>
      <c r="C16" s="9">
        <f>SUMIFS(Base!F:F,Base!D:D,view!B16)</f>
        <v>1296.5</v>
      </c>
      <c r="D16" s="9"/>
      <c r="E16" s="5" t="str">
        <f>_xlfn.XLOOKUP($B16,Base!D:D,Base!R:R)</f>
        <v>Avinash</v>
      </c>
      <c r="F16" s="71"/>
      <c r="G16" s="72"/>
      <c r="H16" s="72"/>
      <c r="I16" s="73"/>
    </row>
    <row r="17" spans="2:9" ht="14.4" customHeight="1" x14ac:dyDescent="0.35">
      <c r="B17" s="8" t="str">
        <v>MICROTEK INTERNATIONAL PRIVATE LIMITED</v>
      </c>
      <c r="C17" s="9">
        <f>SUMIFS(Base!F:F,Base!D:D,view!B17)</f>
        <v>2453</v>
      </c>
      <c r="D17" s="9"/>
      <c r="E17" s="5" t="str">
        <f>_xlfn.XLOOKUP($B17,Base!D:D,Base!R:R)</f>
        <v>Rahul</v>
      </c>
      <c r="F17" s="71"/>
      <c r="G17" s="72"/>
      <c r="H17" s="72"/>
      <c r="I17" s="73"/>
    </row>
    <row r="18" spans="2:9" ht="14.4" customHeight="1" x14ac:dyDescent="0.35">
      <c r="B18" s="8" t="str">
        <v>UARPAL Metalcraft</v>
      </c>
      <c r="C18" s="9">
        <f>SUMIFS(Base!F:F,Base!D:D,view!B18)</f>
        <v>2519.7600000000002</v>
      </c>
      <c r="D18" s="9"/>
      <c r="E18" s="5" t="str">
        <f>_xlfn.XLOOKUP($B18,Base!D:D,Base!R:R)</f>
        <v>Deepak Jha</v>
      </c>
      <c r="F18" s="71"/>
      <c r="G18" s="72"/>
      <c r="H18" s="72"/>
      <c r="I18" s="73"/>
    </row>
    <row r="19" spans="2:9" ht="14.4" customHeight="1" x14ac:dyDescent="0.35">
      <c r="B19" s="8" t="str">
        <v>AMAR BIO ORGANICS INDIA PVT LTD</v>
      </c>
      <c r="C19" s="9">
        <f>SUMIFS(Base!F:F,Base!D:D,view!B19)</f>
        <v>3589</v>
      </c>
      <c r="D19" s="9"/>
      <c r="E19" s="5" t="str">
        <f>_xlfn.XLOOKUP($B19,Base!D:D,Base!R:R)</f>
        <v>Sahilesh</v>
      </c>
      <c r="F19" s="71"/>
      <c r="G19" s="72"/>
      <c r="H19" s="72"/>
      <c r="I19" s="73"/>
    </row>
    <row r="20" spans="2:9" ht="14.4" customHeight="1" x14ac:dyDescent="0.35">
      <c r="B20" s="8" t="str">
        <v>CHIRANTANA EQUIPACK PRIVATE LIMITED</v>
      </c>
      <c r="C20" s="9">
        <f>SUMIFS(Base!F:F,Base!D:D,view!B20)</f>
        <v>4540.75</v>
      </c>
      <c r="D20" s="9"/>
      <c r="E20" s="5" t="str">
        <f>_xlfn.XLOOKUP($B20,Base!D:D,Base!R:R)</f>
        <v>Subhash</v>
      </c>
      <c r="F20" s="71"/>
      <c r="G20" s="72"/>
      <c r="H20" s="72"/>
      <c r="I20" s="73"/>
    </row>
    <row r="21" spans="2:9" ht="14.4" customHeight="1" x14ac:dyDescent="0.35">
      <c r="B21" s="8" t="str">
        <v>NIMESH ENTERPRISES</v>
      </c>
      <c r="C21" s="9">
        <f>SUMIFS(Base!F:F,Base!D:D,view!B21)</f>
        <v>4858.2</v>
      </c>
      <c r="D21" s="9"/>
      <c r="E21" s="5" t="str">
        <f>_xlfn.XLOOKUP($B21,Base!D:D,Base!R:R)</f>
        <v>Shekhar</v>
      </c>
      <c r="F21" s="71"/>
      <c r="G21" s="72"/>
      <c r="H21" s="72"/>
      <c r="I21" s="73"/>
    </row>
    <row r="22" spans="2:9" x14ac:dyDescent="0.35">
      <c r="B22" s="8" t="str">
        <v>FABIANO APPLIANCES PRIVATE LIMITED</v>
      </c>
      <c r="C22" s="9">
        <f>SUMIFS(Base!F:F,Base!D:D,view!B22)</f>
        <v>5255.85</v>
      </c>
      <c r="D22" s="9"/>
      <c r="E22" s="5" t="str">
        <f>_xlfn.XLOOKUP($B22,Base!D:D,Base!R:R)</f>
        <v>Deepak Jha</v>
      </c>
      <c r="F22" s="71"/>
      <c r="G22" s="72"/>
      <c r="H22" s="72"/>
      <c r="I22" s="73"/>
    </row>
    <row r="23" spans="2:9" x14ac:dyDescent="0.35">
      <c r="B23" s="8" t="str">
        <v>LOTUS BLISS</v>
      </c>
      <c r="C23" s="9">
        <f>SUMIFS(Base!F:F,Base!D:D,view!B23)</f>
        <v>5343.7</v>
      </c>
      <c r="D23" s="9"/>
      <c r="E23" s="5" t="str">
        <f>_xlfn.XLOOKUP($B23,Base!D:D,Base!R:R)</f>
        <v>Pooja</v>
      </c>
      <c r="F23" s="71"/>
      <c r="G23" s="72"/>
      <c r="H23" s="72"/>
      <c r="I23" s="73"/>
    </row>
    <row r="24" spans="2:9" x14ac:dyDescent="0.35">
      <c r="B24" s="8" t="str">
        <v>MAHAVIR TRANSPORT SERVICE</v>
      </c>
      <c r="C24" s="9">
        <f>SUMIFS(Base!F:F,Base!D:D,view!B24)</f>
        <v>5614</v>
      </c>
      <c r="D24" s="9"/>
      <c r="E24" s="5" t="str">
        <f>_xlfn.XLOOKUP($B24,Base!D:D,Base!R:R)</f>
        <v>Raj Kamal</v>
      </c>
      <c r="F24" s="71"/>
      <c r="G24" s="72"/>
      <c r="H24" s="72"/>
      <c r="I24" s="73"/>
    </row>
    <row r="25" spans="2:9" ht="14.4" customHeight="1" x14ac:dyDescent="0.35">
      <c r="B25" s="8" t="str">
        <v>NEXAR LOGISTIC PRIVATE LIMITED</v>
      </c>
      <c r="C25" s="9">
        <f>SUMIFS(Base!F:F,Base!D:D,view!B25)</f>
        <v>5681.74</v>
      </c>
      <c r="D25" s="9"/>
      <c r="E25" s="5" t="str">
        <f>_xlfn.XLOOKUP($B25,Base!D:D,Base!R:R)</f>
        <v>Pramod</v>
      </c>
      <c r="F25" s="71"/>
      <c r="G25" s="72"/>
      <c r="H25" s="72"/>
      <c r="I25" s="73"/>
    </row>
    <row r="26" spans="2:9" ht="14.4" customHeight="1" x14ac:dyDescent="0.35">
      <c r="B26" s="8" t="str">
        <v>PROZO INTEGRATED LOGISTICS PRIVATE LIMITED</v>
      </c>
      <c r="C26" s="9">
        <f>SUMIFS(Base!F:F,Base!D:D,view!B26)</f>
        <v>5903.78</v>
      </c>
      <c r="D26" s="9"/>
      <c r="E26" s="5" t="str">
        <f>_xlfn.XLOOKUP($B26,Base!D:D,Base!R:R)</f>
        <v>Deepak Jha</v>
      </c>
      <c r="F26" s="71"/>
      <c r="G26" s="72"/>
      <c r="H26" s="72"/>
      <c r="I26" s="73"/>
    </row>
    <row r="27" spans="2:9" x14ac:dyDescent="0.35">
      <c r="B27" s="8" t="str">
        <v>SHOEFLY ENTERPRISES</v>
      </c>
      <c r="C27" s="9">
        <f>SUMIFS(Base!F:F,Base!D:D,view!B27)</f>
        <v>7489.54</v>
      </c>
      <c r="D27" s="9"/>
      <c r="E27" s="5" t="str">
        <f>_xlfn.XLOOKUP($B27,Base!D:D,Base!R:R)</f>
        <v>Avinash</v>
      </c>
      <c r="F27" s="71"/>
      <c r="G27" s="72"/>
      <c r="H27" s="72"/>
      <c r="I27" s="73"/>
    </row>
    <row r="28" spans="2:9" ht="14.4" customHeight="1" x14ac:dyDescent="0.35">
      <c r="B28" s="8" t="str">
        <v>TRUMOVE SERVICES PRIVATE LIMITED</v>
      </c>
      <c r="C28" s="9">
        <f>SUMIFS(Base!F:F,Base!D:D,view!B28)</f>
        <v>7548</v>
      </c>
      <c r="D28" s="9"/>
      <c r="E28" s="5" t="str">
        <f>_xlfn.XLOOKUP($B28,Base!D:D,Base!R:R)</f>
        <v>Kunal</v>
      </c>
      <c r="F28" s="71"/>
      <c r="G28" s="72"/>
      <c r="H28" s="72"/>
      <c r="I28" s="73"/>
    </row>
    <row r="29" spans="2:9" ht="14.4" customHeight="1" x14ac:dyDescent="0.35">
      <c r="B29" s="8" t="str">
        <v>PICK SPEED EXPRESS AND LOGISTICS PRIVATE LIMITED</v>
      </c>
      <c r="C29" s="9">
        <f>SUMIFS(Base!F:F,Base!D:D,view!B29)</f>
        <v>8052</v>
      </c>
      <c r="D29" s="9"/>
      <c r="E29" s="5" t="str">
        <f>_xlfn.XLOOKUP($B29,Base!D:D,Base!R:R)</f>
        <v>Suraj</v>
      </c>
      <c r="F29" s="71"/>
      <c r="G29" s="72"/>
      <c r="H29" s="72"/>
      <c r="I29" s="73"/>
    </row>
    <row r="30" spans="2:9" ht="14.4" customHeight="1" x14ac:dyDescent="0.35">
      <c r="B30" s="8" t="str">
        <v>KMCR SOLUTIONS (OPC) PRIVATE LIMITED</v>
      </c>
      <c r="C30" s="9">
        <f>SUMIFS(Base!F:F,Base!D:D,view!B30)</f>
        <v>11463.5</v>
      </c>
      <c r="D30" s="9"/>
      <c r="E30" s="5" t="str">
        <f>_xlfn.XLOOKUP($B30,Base!D:D,Base!R:R)</f>
        <v>Pallavi</v>
      </c>
      <c r="F30" s="71"/>
      <c r="G30" s="72"/>
      <c r="H30" s="72"/>
      <c r="I30" s="73"/>
    </row>
    <row r="31" spans="2:9" ht="14.4" customHeight="1" x14ac:dyDescent="0.35">
      <c r="B31" s="8" t="str">
        <v>CARRIEMAX EXPRESS</v>
      </c>
      <c r="C31" s="9">
        <f>SUMIFS(Base!F:F,Base!D:D,view!B31)</f>
        <v>12057.64</v>
      </c>
      <c r="D31" s="9"/>
      <c r="E31" s="5" t="str">
        <f>_xlfn.XLOOKUP($B31,Base!D:D,Base!R:R)</f>
        <v>Gaurav Narayan</v>
      </c>
      <c r="F31" s="71"/>
      <c r="G31" s="72"/>
      <c r="H31" s="72"/>
      <c r="I31" s="73"/>
    </row>
    <row r="32" spans="2:9" ht="14.4" customHeight="1" x14ac:dyDescent="0.35">
      <c r="B32" s="8" t="str">
        <v>SHIVAM INCORPORATION</v>
      </c>
      <c r="C32" s="9">
        <f>SUMIFS(Base!F:F,Base!D:D,view!B32)</f>
        <v>15379.06</v>
      </c>
      <c r="D32" s="9"/>
      <c r="E32" s="5" t="str">
        <f>_xlfn.XLOOKUP($B32,Base!D:D,Base!R:R)</f>
        <v>Arka</v>
      </c>
      <c r="F32" s="71"/>
      <c r="G32" s="72"/>
      <c r="H32" s="72"/>
      <c r="I32" s="73"/>
    </row>
    <row r="33" spans="2:9" ht="14.4" customHeight="1" x14ac:dyDescent="0.35">
      <c r="B33" s="8" t="str">
        <v>SRI SAI ENTERPRISES</v>
      </c>
      <c r="C33" s="9">
        <f>SUMIFS(Base!F:F,Base!D:D,view!B33)</f>
        <v>16086.12</v>
      </c>
      <c r="D33" s="9"/>
      <c r="E33" s="5" t="str">
        <f>_xlfn.XLOOKUP($B33,Base!D:D,Base!R:R)</f>
        <v>Deepak Jha</v>
      </c>
      <c r="F33" s="71"/>
      <c r="G33" s="72"/>
      <c r="H33" s="72"/>
      <c r="I33" s="73"/>
    </row>
    <row r="34" spans="2:9" ht="14.4" customHeight="1" x14ac:dyDescent="0.35">
      <c r="B34" s="8" t="str">
        <v>6HEIGHT TRANS SOLUTIONS PRIVATE LIMITED</v>
      </c>
      <c r="C34" s="9">
        <f>SUMIFS(Base!F:F,Base!D:D,view!B34)</f>
        <v>16657.72</v>
      </c>
      <c r="D34" s="9"/>
      <c r="E34" s="5" t="str">
        <f>_xlfn.XLOOKUP($B34,Base!D:D,Base!R:R)</f>
        <v>Deepak Jha</v>
      </c>
      <c r="F34" s="71"/>
      <c r="G34" s="72"/>
      <c r="H34" s="72"/>
      <c r="I34" s="73"/>
    </row>
    <row r="35" spans="2:9" ht="14.4" customHeight="1" x14ac:dyDescent="0.35">
      <c r="B35" s="8" t="str">
        <v>AVN BUSINESS SOLUTIONS PRIVATE LIMITED</v>
      </c>
      <c r="C35" s="9">
        <f>SUMIFS(Base!F:F,Base!D:D,view!B35)</f>
        <v>17562.52</v>
      </c>
      <c r="D35" s="9"/>
      <c r="E35" s="5" t="str">
        <f>_xlfn.XLOOKUP($B35,Base!D:D,Base!R:R)</f>
        <v>Gaurav Narayan</v>
      </c>
      <c r="F35" s="71"/>
      <c r="G35" s="72"/>
      <c r="H35" s="72"/>
      <c r="I35" s="73"/>
    </row>
    <row r="36" spans="2:9" ht="14.4" customHeight="1" x14ac:dyDescent="0.35">
      <c r="B36" s="8" t="str">
        <v>MNM POLYMERS</v>
      </c>
      <c r="C36" s="9">
        <f>SUMIFS(Base!F:F,Base!D:D,view!B36)</f>
        <v>18046.96</v>
      </c>
      <c r="D36" s="9"/>
      <c r="E36" s="5" t="str">
        <f>_xlfn.XLOOKUP($B36,Base!D:D,Base!R:R)</f>
        <v>Arka</v>
      </c>
      <c r="F36" s="71"/>
      <c r="G36" s="72"/>
      <c r="H36" s="72"/>
      <c r="I36" s="73"/>
    </row>
    <row r="37" spans="2:9" ht="14.4" customHeight="1" x14ac:dyDescent="0.35">
      <c r="B37" s="8" t="str">
        <v>TZMO INDIA SOUTH PRIVATE LIMITED</v>
      </c>
      <c r="C37" s="9">
        <f>SUMIFS(Base!F:F,Base!D:D,view!B37)</f>
        <v>18373.72</v>
      </c>
      <c r="D37" s="9"/>
      <c r="E37" s="5" t="str">
        <f>_xlfn.XLOOKUP($B37,Base!D:D,Base!R:R)</f>
        <v>Balu</v>
      </c>
      <c r="F37" s="71"/>
      <c r="G37" s="72"/>
      <c r="H37" s="72"/>
      <c r="I37" s="73"/>
    </row>
    <row r="38" spans="2:9" x14ac:dyDescent="0.35">
      <c r="B38" s="8" t="str">
        <v>WIPRO ENTERPRISES PRIVATE LIMITED</v>
      </c>
      <c r="C38" s="9">
        <f>SUMIFS(Base!F:F,Base!D:D,view!B38)</f>
        <v>24023.4</v>
      </c>
      <c r="D38" s="9"/>
      <c r="E38" s="5" t="str">
        <f>_xlfn.XLOOKUP($B38,Base!D:D,Base!R:R)</f>
        <v>Deepak</v>
      </c>
      <c r="F38" s="71"/>
      <c r="G38" s="72"/>
      <c r="H38" s="72"/>
      <c r="I38" s="73"/>
    </row>
    <row r="39" spans="2:9" ht="14.4" customHeight="1" x14ac:dyDescent="0.35">
      <c r="B39" s="8" t="str">
        <v>SCRAFT UNIWORLD HYGIENE (OPC) PRIVATE LIMITED</v>
      </c>
      <c r="C39" s="9">
        <f>SUMIFS(Base!F:F,Base!D:D,view!B39)</f>
        <v>24412.7</v>
      </c>
      <c r="D39" s="9"/>
      <c r="E39" s="5" t="str">
        <f>_xlfn.XLOOKUP($B39,Base!D:D,Base!R:R)</f>
        <v>Deepak Jha</v>
      </c>
      <c r="F39" s="71"/>
      <c r="G39" s="72"/>
      <c r="H39" s="72"/>
      <c r="I39" s="73"/>
    </row>
    <row r="40" spans="2:9" ht="14.4" customHeight="1" x14ac:dyDescent="0.35">
      <c r="B40" s="8" t="str">
        <v>SHRIRAM FINANCE LIMITED</v>
      </c>
      <c r="C40" s="9">
        <f>SUMIFS(Base!F:F,Base!D:D,view!B40)</f>
        <v>38962.800000000003</v>
      </c>
      <c r="D40" s="9"/>
      <c r="E40" s="5" t="str">
        <f>_xlfn.XLOOKUP($B40,Base!D:D,Base!R:R)</f>
        <v>Subhash</v>
      </c>
      <c r="F40" s="71"/>
      <c r="G40" s="72"/>
      <c r="H40" s="72"/>
      <c r="I40" s="73"/>
    </row>
    <row r="41" spans="2:9" ht="14.4" customHeight="1" x14ac:dyDescent="0.35">
      <c r="B41" s="8" t="str">
        <v>JMD VIRAG DECORE LLP</v>
      </c>
      <c r="C41" s="9">
        <f>SUMIFS(Base!F:F,Base!D:D,view!B41)</f>
        <v>39216</v>
      </c>
      <c r="D41" s="9"/>
      <c r="E41" s="5" t="str">
        <f>_xlfn.XLOOKUP($B41,Base!D:D,Base!R:R)</f>
        <v>Avinash</v>
      </c>
      <c r="F41" s="71"/>
      <c r="G41" s="72"/>
      <c r="H41" s="72"/>
      <c r="I41" s="73"/>
    </row>
    <row r="42" spans="2:9" ht="14.4" customHeight="1" x14ac:dyDescent="0.35">
      <c r="B42" s="8" t="str">
        <v>B JAIN PHARMACEUTICALS PRIVATE LIMITED</v>
      </c>
      <c r="C42" s="9">
        <f>SUMIFS(Base!F:F,Base!D:D,view!B42)</f>
        <v>62415.83</v>
      </c>
      <c r="D42" s="9"/>
      <c r="E42" s="5" t="str">
        <f>_xlfn.XLOOKUP($B42,Base!D:D,Base!R:R)</f>
        <v>Deepak Jha</v>
      </c>
      <c r="F42" s="71"/>
      <c r="G42" s="72"/>
      <c r="H42" s="72"/>
      <c r="I42" s="73"/>
    </row>
    <row r="43" spans="2:9" ht="14.4" customHeight="1" x14ac:dyDescent="0.35">
      <c r="B43" s="8" t="str">
        <v>NIPPON EXPRESS (INDIA) PRIVATE LIMITED</v>
      </c>
      <c r="C43" s="9">
        <f>SUMIFS(Base!F:F,Base!D:D,view!B43)</f>
        <v>64819.28</v>
      </c>
      <c r="D43" s="9"/>
      <c r="E43" s="5" t="str">
        <f>_xlfn.XLOOKUP($B43,Base!D:D,Base!R:R)</f>
        <v>Deepak</v>
      </c>
      <c r="F43" s="71"/>
      <c r="G43" s="72"/>
      <c r="H43" s="72"/>
      <c r="I43" s="73"/>
    </row>
    <row r="44" spans="2:9" ht="14.4" customHeight="1" x14ac:dyDescent="0.35">
      <c r="B44" s="8" t="str">
        <v>VSM LOGISTICS</v>
      </c>
      <c r="C44" s="9">
        <f>SUMIFS(Base!F:F,Base!D:D,view!B44)</f>
        <v>78140.47</v>
      </c>
      <c r="D44" s="9"/>
      <c r="E44" s="5" t="str">
        <f>_xlfn.XLOOKUP($B44,Base!D:D,Base!R:R)</f>
        <v>Deepak Jha</v>
      </c>
      <c r="F44" s="71"/>
      <c r="G44" s="72"/>
      <c r="H44" s="72"/>
      <c r="I44" s="73"/>
    </row>
    <row r="45" spans="2:9" ht="14.4" customHeight="1" x14ac:dyDescent="0.35">
      <c r="B45" s="8" t="str">
        <v>FORTUNE MARKETING PRIVATE LIMITED</v>
      </c>
      <c r="C45" s="9">
        <f>SUMIFS(Base!F:F,Base!D:D,view!B45)</f>
        <v>82427.13</v>
      </c>
      <c r="D45" s="9"/>
      <c r="E45" s="5" t="str">
        <f>_xlfn.XLOOKUP($B45,Base!D:D,Base!R:R)</f>
        <v>Tasleem</v>
      </c>
      <c r="F45" s="71"/>
      <c r="G45" s="72"/>
      <c r="H45" s="72"/>
      <c r="I45" s="73"/>
    </row>
    <row r="46" spans="2:9" ht="14.4" customHeight="1" x14ac:dyDescent="0.35">
      <c r="B46" s="8" t="str">
        <v>Proelium Learning Solutions Private Limited</v>
      </c>
      <c r="C46" s="9">
        <f>SUMIFS(Base!F:F,Base!D:D,view!B46)</f>
        <v>84302.76</v>
      </c>
      <c r="D46" s="9"/>
      <c r="E46" s="5" t="str">
        <f>_xlfn.XLOOKUP($B46,Base!D:D,Base!R:R)</f>
        <v>Deepak Jha</v>
      </c>
      <c r="F46" s="71"/>
      <c r="G46" s="72"/>
      <c r="H46" s="72"/>
      <c r="I46" s="73"/>
    </row>
    <row r="47" spans="2:9" ht="14.4" customHeight="1" x14ac:dyDescent="0.35">
      <c r="B47" s="8" t="str">
        <v>KOPYBRIGHT INDIA LIMITED</v>
      </c>
      <c r="C47" s="9">
        <f>SUMIFS(Base!F:F,Base!D:D,view!B47)</f>
        <v>93842.36</v>
      </c>
      <c r="D47" s="9"/>
      <c r="E47" s="5" t="str">
        <f>_xlfn.XLOOKUP($B47,Base!D:D,Base!R:R)</f>
        <v>Saud</v>
      </c>
      <c r="F47" s="71"/>
      <c r="G47" s="72"/>
      <c r="H47" s="72"/>
      <c r="I47" s="73"/>
    </row>
    <row r="48" spans="2:9" ht="14.4" customHeight="1" x14ac:dyDescent="0.35">
      <c r="B48" s="8" t="str">
        <v>BARFLEX POLYFILMS LIMITED</v>
      </c>
      <c r="C48" s="9">
        <f>SUMIFS(Base!F:F,Base!D:D,view!B48)</f>
        <v>106955.6</v>
      </c>
      <c r="D48" s="9"/>
      <c r="E48" s="5" t="str">
        <f>_xlfn.XLOOKUP($B48,Base!D:D,Base!R:R)</f>
        <v>Deepak Jha</v>
      </c>
      <c r="F48" s="71"/>
      <c r="G48" s="72"/>
      <c r="H48" s="72"/>
      <c r="I48" s="73"/>
    </row>
    <row r="49" spans="2:12" x14ac:dyDescent="0.35">
      <c r="B49" s="8" t="str">
        <v>Harman International India Private Limited</v>
      </c>
      <c r="C49" s="9">
        <f>SUMIFS(Base!F:F,Base!D:D,view!B49)</f>
        <v>113457.5</v>
      </c>
      <c r="D49" s="9"/>
      <c r="E49" s="5" t="str">
        <f>_xlfn.XLOOKUP($B49,Base!D:D,Base!R:R)</f>
        <v>Padma</v>
      </c>
      <c r="F49" s="71"/>
      <c r="G49" s="72"/>
      <c r="H49" s="72"/>
      <c r="I49" s="73"/>
    </row>
    <row r="50" spans="2:12" x14ac:dyDescent="0.35">
      <c r="B50" s="8" t="str">
        <v>TOTTAL EXPRESS &amp; FREIGHT FORWARDING LLP</v>
      </c>
      <c r="C50" s="9">
        <f>SUMIFS(Base!F:F,Base!D:D,view!B50)</f>
        <v>117989</v>
      </c>
      <c r="D50" s="9"/>
      <c r="E50" s="5" t="str">
        <f>_xlfn.XLOOKUP($B50,Base!D:D,Base!R:R)</f>
        <v>Pratik</v>
      </c>
      <c r="F50" s="51"/>
      <c r="G50" s="52"/>
      <c r="H50" s="52"/>
      <c r="I50" s="53"/>
    </row>
    <row r="51" spans="2:12" ht="14.4" customHeight="1" x14ac:dyDescent="0.35">
      <c r="B51" s="8" t="str">
        <v>ADITYA INFOTECH LIMITED</v>
      </c>
      <c r="C51" s="9">
        <f>SUMIFS(Base!F:F,Base!D:D,view!B51)</f>
        <v>146895</v>
      </c>
      <c r="D51" s="9"/>
      <c r="E51" s="5" t="str">
        <f>_xlfn.XLOOKUP($B51,Base!D:D,Base!R:R)</f>
        <v>Pramod</v>
      </c>
      <c r="F51" s="71"/>
      <c r="G51" s="72"/>
      <c r="H51" s="72"/>
      <c r="I51" s="73"/>
    </row>
    <row r="52" spans="2:12" ht="14.4" customHeight="1" x14ac:dyDescent="0.35">
      <c r="B52" s="8" t="str">
        <v>GODREJ AND BOYCE MANUFACTURING CO LTD.</v>
      </c>
      <c r="C52" s="9">
        <f>SUMIFS(Base!F:F,Base!D:D,view!B52)</f>
        <v>158300.29999999999</v>
      </c>
      <c r="D52" s="9"/>
      <c r="E52" s="5" t="str">
        <f>_xlfn.XLOOKUP($B52,Base!D:D,Base!R:R)</f>
        <v>Kunal</v>
      </c>
      <c r="F52" s="51"/>
      <c r="G52" s="52"/>
      <c r="H52" s="52"/>
      <c r="I52" s="53"/>
    </row>
    <row r="53" spans="2:12" ht="14.4" customHeight="1" x14ac:dyDescent="0.35">
      <c r="B53" s="8" t="str">
        <v>TBJ IMPEX PRIVATE LIMITED</v>
      </c>
      <c r="C53" s="9">
        <f>SUMIFS(Base!F:F,Base!D:D,view!B53)</f>
        <v>170872</v>
      </c>
      <c r="D53" s="9"/>
      <c r="E53" s="5" t="str">
        <f>_xlfn.XLOOKUP($B53,Base!D:D,Base!R:R)</f>
        <v>Sudhanshu</v>
      </c>
      <c r="F53" s="71"/>
      <c r="G53" s="72"/>
      <c r="H53" s="72"/>
      <c r="I53" s="73"/>
    </row>
    <row r="54" spans="2:12" ht="14.4" customHeight="1" x14ac:dyDescent="0.35">
      <c r="B54" s="8" t="str">
        <v>CREDO BRANDS MARKETING LIMITED</v>
      </c>
      <c r="C54" s="9">
        <f>SUMIFS(Base!F:F,Base!D:D,view!B54)</f>
        <v>192323.8</v>
      </c>
      <c r="D54" s="9"/>
      <c r="E54" s="5" t="str">
        <f>_xlfn.XLOOKUP($B54,Base!D:D,Base!R:R)</f>
        <v>Harisha</v>
      </c>
      <c r="F54" s="71"/>
      <c r="G54" s="72"/>
      <c r="H54" s="72"/>
      <c r="I54" s="73"/>
    </row>
    <row r="55" spans="2:12" ht="14.4" customHeight="1" x14ac:dyDescent="0.35">
      <c r="B55" s="8" t="str">
        <v>BLEND COLOURS PRIVATE LIMITED</v>
      </c>
      <c r="C55" s="9">
        <f>SUMIFS(Base!F:F,Base!D:D,view!B55)</f>
        <v>234466.3</v>
      </c>
      <c r="D55" s="9"/>
      <c r="E55" s="5" t="str">
        <f>_xlfn.XLOOKUP($B55,Base!D:D,Base!R:R)</f>
        <v>Keshav</v>
      </c>
      <c r="F55" s="71"/>
      <c r="G55" s="72"/>
      <c r="H55" s="72"/>
      <c r="I55" s="73"/>
    </row>
    <row r="56" spans="2:12" ht="14.4" customHeight="1" x14ac:dyDescent="0.35">
      <c r="B56" s="8" t="str">
        <v>ROMSONS GROUP PRIVATE LIMITED</v>
      </c>
      <c r="C56" s="9">
        <f>SUMIFS(Base!F:F,Base!D:D,view!B56)</f>
        <v>237290</v>
      </c>
      <c r="D56" s="9"/>
      <c r="E56" s="5" t="str">
        <f>_xlfn.XLOOKUP($B56,Base!D:D,Base!R:R)</f>
        <v>Gaurav</v>
      </c>
      <c r="F56" s="71"/>
      <c r="G56" s="72"/>
      <c r="H56" s="72"/>
      <c r="I56" s="73"/>
    </row>
    <row r="57" spans="2:12" ht="14.4" customHeight="1" x14ac:dyDescent="0.35">
      <c r="B57" s="8" t="str">
        <v>TECH ALMOND SOLUTIONS PRIVATE LIMITED</v>
      </c>
      <c r="C57" s="9">
        <f>SUMIFS(Base!F:F,Base!D:D,view!B57)</f>
        <v>280984.3</v>
      </c>
      <c r="D57" s="9"/>
      <c r="E57" s="5" t="str">
        <f>_xlfn.XLOOKUP($B57,Base!D:D,Base!R:R)</f>
        <v>Deepak Jha</v>
      </c>
      <c r="F57" s="71"/>
      <c r="G57" s="72"/>
      <c r="H57" s="72"/>
      <c r="I57" s="73"/>
    </row>
    <row r="58" spans="2:12" ht="14.4" customHeight="1" x14ac:dyDescent="0.35">
      <c r="B58" s="8" t="str">
        <v>CRAFTVATIKA PRIVATE LIMITED</v>
      </c>
      <c r="C58" s="9">
        <f>SUMIFS(Base!F:F,Base!D:D,view!B58)</f>
        <v>386385.4</v>
      </c>
      <c r="D58" s="9"/>
      <c r="E58" s="5" t="str">
        <f>_xlfn.XLOOKUP($B58,Base!D:D,Base!R:R)</f>
        <v>Aman</v>
      </c>
      <c r="F58" s="71"/>
      <c r="G58" s="72"/>
      <c r="H58" s="72"/>
      <c r="I58" s="73"/>
    </row>
    <row r="59" spans="2:12" ht="14.4" customHeight="1" x14ac:dyDescent="0.35">
      <c r="B59" s="8" t="str">
        <v>Yolojet Internet Services Private Limited</v>
      </c>
      <c r="C59" s="9">
        <f>SUMIFS(Base!F:F,Base!D:D,view!B59)</f>
        <v>2982224</v>
      </c>
      <c r="D59" s="9"/>
      <c r="E59" s="5" t="str">
        <f>_xlfn.XLOOKUP($B59,Base!D:D,Base!R:R)</f>
        <v>Harisha</v>
      </c>
      <c r="F59" s="71"/>
      <c r="G59" s="72"/>
      <c r="H59" s="72"/>
      <c r="I59" s="73"/>
    </row>
    <row r="60" spans="2:12" x14ac:dyDescent="0.35">
      <c r="B60" s="10"/>
      <c r="C60" s="1"/>
      <c r="D60" s="1"/>
    </row>
    <row r="61" spans="2:12" x14ac:dyDescent="0.35">
      <c r="B61" s="10"/>
      <c r="C61" s="1">
        <f>SUM(C63:C97)</f>
        <v>5540510.2750000004</v>
      </c>
      <c r="D61" s="1">
        <f>SUM(D63:D97)</f>
        <v>834813</v>
      </c>
      <c r="I61" s="10"/>
      <c r="J61" s="1"/>
      <c r="K61" s="1"/>
      <c r="L61" s="1"/>
    </row>
    <row r="62" spans="2:12" x14ac:dyDescent="0.35">
      <c r="B62" s="7" t="s">
        <v>856</v>
      </c>
      <c r="C62" s="7" t="s">
        <v>1605</v>
      </c>
      <c r="D62" s="7" t="s">
        <v>1609</v>
      </c>
      <c r="E62" s="7" t="s">
        <v>853</v>
      </c>
      <c r="F62" s="7" t="s">
        <v>854</v>
      </c>
      <c r="G62" s="74" t="s">
        <v>855</v>
      </c>
      <c r="H62" s="74"/>
      <c r="I62" s="74"/>
      <c r="J62" s="1"/>
      <c r="K62" s="1"/>
    </row>
    <row r="63" spans="2:12" x14ac:dyDescent="0.35">
      <c r="B63" s="8" t="str" cm="1">
        <f t="array" ref="B63:B97">_xlfn._xlws.FILTER(Base!D:D,Base!M:M="Near churn", "No clients found")</f>
        <v>ASMR BITES PRIVATE LIMITED</v>
      </c>
      <c r="C63" s="9">
        <f>SUMIFS(Base!F:F,Base!D:D,view!B63)</f>
        <v>3781.55</v>
      </c>
      <c r="D63" s="9">
        <f>SUMIFS(Base!I:I,Base!D:D,view!B63)</f>
        <v>834</v>
      </c>
      <c r="E63" s="9"/>
      <c r="F63" s="5" t="str">
        <f>_xlfn.XLOOKUP($B63,Base!D:D,Base!R:R)</f>
        <v>Ashray</v>
      </c>
      <c r="G63" s="70"/>
      <c r="H63" s="70"/>
      <c r="I63" s="70"/>
      <c r="J63" s="1"/>
      <c r="K63" s="1"/>
    </row>
    <row r="64" spans="2:12" x14ac:dyDescent="0.35">
      <c r="B64" s="8" t="str">
        <v>TEKIES RETAIL PRIVATE LIMITED</v>
      </c>
      <c r="C64" s="9">
        <f>SUMIFS(Base!F:F,Base!D:D,view!B64)</f>
        <v>3672</v>
      </c>
      <c r="D64" s="9">
        <f>SUMIFS(Base!I:I,Base!D:D,view!B64)</f>
        <v>482</v>
      </c>
      <c r="E64" s="9"/>
      <c r="F64" s="5" t="str">
        <f>_xlfn.XLOOKUP($B64,Base!D:D,Base!R:R)</f>
        <v>Deepak Jha</v>
      </c>
      <c r="G64" s="70"/>
      <c r="H64" s="70"/>
      <c r="I64" s="70"/>
      <c r="J64" s="1"/>
      <c r="K64" s="1"/>
    </row>
    <row r="65" spans="2:11" x14ac:dyDescent="0.35">
      <c r="B65" s="8" t="str">
        <v>EXYTE SOLUTIONS PRIVATE LIMITED</v>
      </c>
      <c r="C65" s="9">
        <f>SUMIFS(Base!F:F,Base!D:D,view!B65)</f>
        <v>5317.86</v>
      </c>
      <c r="D65" s="9">
        <f>SUMIFS(Base!I:I,Base!D:D,view!B65)</f>
        <v>405</v>
      </c>
      <c r="E65" s="9"/>
      <c r="F65" s="5" t="str">
        <f>_xlfn.XLOOKUP($B65,Base!D:D,Base!R:R)</f>
        <v>Deepak Jha</v>
      </c>
      <c r="G65" s="70"/>
      <c r="H65" s="70"/>
      <c r="I65" s="70"/>
      <c r="J65" s="1"/>
      <c r="K65" s="1"/>
    </row>
    <row r="66" spans="2:11" x14ac:dyDescent="0.35">
      <c r="B66" s="8" t="str">
        <v>Shiplystic Pvt Ltd</v>
      </c>
      <c r="C66" s="9">
        <f>SUMIFS(Base!F:F,Base!D:D,view!B66)</f>
        <v>8674.8950000000004</v>
      </c>
      <c r="D66" s="9">
        <f>SUMIFS(Base!I:I,Base!D:D,view!B66)</f>
        <v>2497</v>
      </c>
      <c r="E66" s="9"/>
      <c r="F66" s="5" t="str">
        <f>_xlfn.XLOOKUP($B66,Base!D:D,Base!R:R)</f>
        <v>Pratik</v>
      </c>
      <c r="G66" s="70"/>
      <c r="H66" s="70"/>
      <c r="I66" s="70"/>
      <c r="J66" s="1"/>
      <c r="K66" s="1"/>
    </row>
    <row r="67" spans="2:11" x14ac:dyDescent="0.35">
      <c r="B67" s="8" t="str">
        <v>BOGGLETREE TECHNOLOGIES PRIVATE LIMITED</v>
      </c>
      <c r="C67" s="9">
        <f>SUMIFS(Base!F:F,Base!D:D,view!B67)</f>
        <v>16718.32</v>
      </c>
      <c r="D67" s="9">
        <f>SUMIFS(Base!I:I,Base!D:D,view!B67)</f>
        <v>2615</v>
      </c>
      <c r="E67" s="9"/>
      <c r="F67" s="5" t="str">
        <f>_xlfn.XLOOKUP($B67,Base!D:D,Base!R:R)</f>
        <v>Rahul</v>
      </c>
      <c r="G67" s="70"/>
      <c r="H67" s="70"/>
      <c r="I67" s="70"/>
      <c r="J67" s="1"/>
      <c r="K67" s="1"/>
    </row>
    <row r="68" spans="2:11" x14ac:dyDescent="0.35">
      <c r="B68" s="8" t="str">
        <v>SMILEPHILE HEALTHCARE PRIVATE LIMITED</v>
      </c>
      <c r="C68" s="9">
        <f>SUMIFS(Base!F:F,Base!D:D,view!B68)</f>
        <v>17465</v>
      </c>
      <c r="D68" s="9">
        <f>SUMIFS(Base!I:I,Base!D:D,view!B68)</f>
        <v>1460</v>
      </c>
      <c r="E68" s="9"/>
      <c r="F68" s="5" t="str">
        <f>_xlfn.XLOOKUP($B68,Base!D:D,Base!R:R)</f>
        <v>Saud</v>
      </c>
      <c r="G68" s="70"/>
      <c r="H68" s="70"/>
      <c r="I68" s="70"/>
      <c r="J68" s="1"/>
      <c r="K68" s="1"/>
    </row>
    <row r="69" spans="2:11" x14ac:dyDescent="0.35">
      <c r="B69" s="8" t="str">
        <v>MICROPARK LOGISTICS PRIVATE LIMITED</v>
      </c>
      <c r="C69" s="9">
        <f>SUMIFS(Base!F:F,Base!D:D,view!B69)</f>
        <v>20103.5</v>
      </c>
      <c r="D69" s="9">
        <f>SUMIFS(Base!I:I,Base!D:D,view!B69)</f>
        <v>3344</v>
      </c>
      <c r="E69" s="9"/>
      <c r="F69" s="5" t="str">
        <f>_xlfn.XLOOKUP($B69,Base!D:D,Base!R:R)</f>
        <v>Deepak Jha</v>
      </c>
      <c r="G69" s="70"/>
      <c r="H69" s="70"/>
      <c r="I69" s="70"/>
      <c r="J69" s="1"/>
      <c r="K69" s="1"/>
    </row>
    <row r="70" spans="2:11" x14ac:dyDescent="0.35">
      <c r="B70" s="8" t="str">
        <v>LOGYXPRESS</v>
      </c>
      <c r="C70" s="9">
        <f>SUMIFS(Base!F:F,Base!D:D,view!B70)</f>
        <v>18665</v>
      </c>
      <c r="D70" s="9">
        <f>SUMIFS(Base!I:I,Base!D:D,view!B70)</f>
        <v>1861</v>
      </c>
      <c r="E70" s="9"/>
      <c r="F70" s="5" t="str">
        <f>_xlfn.XLOOKUP($B70,Base!D:D,Base!R:R)</f>
        <v>Deepak Jha</v>
      </c>
      <c r="G70" s="70"/>
      <c r="H70" s="70"/>
      <c r="I70" s="70"/>
      <c r="J70" s="1"/>
      <c r="K70" s="1"/>
    </row>
    <row r="71" spans="2:11" x14ac:dyDescent="0.35">
      <c r="B71" s="8" t="str">
        <v>BETTERLIFE HORIZONS PRIVATE LIMITED</v>
      </c>
      <c r="C71" s="9">
        <f>SUMIFS(Base!F:F,Base!D:D,view!B71)</f>
        <v>19258.16</v>
      </c>
      <c r="D71" s="9">
        <f>SUMIFS(Base!I:I,Base!D:D,view!B71)</f>
        <v>1660</v>
      </c>
      <c r="E71" s="9"/>
      <c r="F71" s="5" t="str">
        <f>_xlfn.XLOOKUP($B71,Base!D:D,Base!R:R)</f>
        <v>Avinash</v>
      </c>
      <c r="G71" s="70"/>
      <c r="H71" s="70"/>
      <c r="I71" s="70"/>
      <c r="J71" s="1"/>
      <c r="K71" s="1"/>
    </row>
    <row r="72" spans="2:11" x14ac:dyDescent="0.35">
      <c r="B72" s="8" t="str">
        <v>GRAND SPEED NETWORK PRIVATE LIMITED</v>
      </c>
      <c r="C72" s="9">
        <f>SUMIFS(Base!F:F,Base!D:D,view!B72)</f>
        <v>37791.72</v>
      </c>
      <c r="D72" s="9">
        <f>SUMIFS(Base!I:I,Base!D:D,view!B72)</f>
        <v>7845</v>
      </c>
      <c r="E72" s="9"/>
      <c r="F72" s="5" t="str">
        <f>_xlfn.XLOOKUP($B72,Base!D:D,Base!R:R)</f>
        <v>Pratik</v>
      </c>
      <c r="G72" s="70"/>
      <c r="H72" s="70"/>
      <c r="I72" s="70"/>
      <c r="J72" s="1"/>
      <c r="K72" s="1"/>
    </row>
    <row r="73" spans="2:11" x14ac:dyDescent="0.35">
      <c r="B73" s="8" t="str">
        <v>SEOUL IMPEX</v>
      </c>
      <c r="C73" s="9">
        <f>SUMIFS(Base!F:F,Base!D:D,view!B73)</f>
        <v>35131.300000000003</v>
      </c>
      <c r="D73" s="9">
        <f>SUMIFS(Base!I:I,Base!D:D,view!B73)</f>
        <v>3669</v>
      </c>
      <c r="E73" s="9"/>
      <c r="F73" s="5" t="str">
        <f>_xlfn.XLOOKUP($B73,Base!D:D,Base!R:R)</f>
        <v>Subhash</v>
      </c>
      <c r="G73" s="70"/>
      <c r="H73" s="70"/>
      <c r="I73" s="70"/>
      <c r="J73" s="1"/>
      <c r="K73" s="1"/>
    </row>
    <row r="74" spans="2:11" x14ac:dyDescent="0.35">
      <c r="B74" s="8" t="str">
        <v>TENSOR LOGISTICS PRIVATE LIMITED</v>
      </c>
      <c r="C74" s="9">
        <f>SUMIFS(Base!F:F,Base!D:D,view!B74)</f>
        <v>43044.67</v>
      </c>
      <c r="D74" s="9">
        <f>SUMIFS(Base!I:I,Base!D:D,view!B74)</f>
        <v>11335</v>
      </c>
      <c r="E74" s="9"/>
      <c r="F74" s="5" t="str">
        <f>_xlfn.XLOOKUP($B74,Base!D:D,Base!R:R)</f>
        <v>Deepak Jha</v>
      </c>
      <c r="G74" s="70"/>
      <c r="H74" s="70"/>
      <c r="I74" s="70"/>
      <c r="J74" s="1"/>
      <c r="K74" s="1"/>
    </row>
    <row r="75" spans="2:11" x14ac:dyDescent="0.35">
      <c r="B75" s="8" t="str">
        <v>Lighthouse Learning Private Limited</v>
      </c>
      <c r="C75" s="9">
        <f>SUMIFS(Base!F:F,Base!D:D,view!B75)</f>
        <v>35941.42</v>
      </c>
      <c r="D75" s="9">
        <f>SUMIFS(Base!I:I,Base!D:D,view!B75)</f>
        <v>3076</v>
      </c>
      <c r="E75" s="9"/>
      <c r="F75" s="5" t="str">
        <f>_xlfn.XLOOKUP($B75,Base!D:D,Base!R:R)</f>
        <v>Kunal</v>
      </c>
      <c r="G75" s="70"/>
      <c r="H75" s="70"/>
      <c r="I75" s="70"/>
      <c r="J75" s="1"/>
      <c r="K75" s="1"/>
    </row>
    <row r="76" spans="2:11" x14ac:dyDescent="0.35">
      <c r="B76" s="8" t="str">
        <v>JET GLOBAL AIR AND CARGO LOGISTIC</v>
      </c>
      <c r="C76" s="9">
        <f>SUMIFS(Base!F:F,Base!D:D,view!B76)</f>
        <v>48174.8</v>
      </c>
      <c r="D76" s="9">
        <f>SUMIFS(Base!I:I,Base!D:D,view!B76)</f>
        <v>10752</v>
      </c>
      <c r="E76" s="9"/>
      <c r="F76" s="5" t="str">
        <f>_xlfn.XLOOKUP($B76,Base!D:D,Base!R:R)</f>
        <v>Subhash</v>
      </c>
      <c r="G76" s="70"/>
      <c r="H76" s="70"/>
      <c r="I76" s="70"/>
      <c r="J76" s="1"/>
      <c r="K76" s="1"/>
    </row>
    <row r="77" spans="2:11" x14ac:dyDescent="0.35">
      <c r="B77" s="8" t="str">
        <v>INDIEJEWEL FASHIONS PRIVATE LIMITED</v>
      </c>
      <c r="C77" s="9">
        <f>SUMIFS(Base!F:F,Base!D:D,view!B77)</f>
        <v>53761.42</v>
      </c>
      <c r="D77" s="9">
        <f>SUMIFS(Base!I:I,Base!D:D,view!B77)</f>
        <v>15686</v>
      </c>
      <c r="E77" s="9"/>
      <c r="F77" s="5" t="str">
        <f>_xlfn.XLOOKUP($B77,Base!D:D,Base!R:R)</f>
        <v>Abhishek</v>
      </c>
      <c r="G77" s="70"/>
      <c r="H77" s="70"/>
      <c r="I77" s="70"/>
      <c r="J77" s="1"/>
      <c r="K77" s="1"/>
    </row>
    <row r="78" spans="2:11" x14ac:dyDescent="0.35">
      <c r="B78" s="8" t="str">
        <v>Ashana Enterprises Private Limited</v>
      </c>
      <c r="C78" s="9">
        <f>SUMIFS(Base!F:F,Base!D:D,view!B78)</f>
        <v>52872.27</v>
      </c>
      <c r="D78" s="9">
        <f>SUMIFS(Base!I:I,Base!D:D,view!B78)</f>
        <v>420</v>
      </c>
      <c r="E78" s="9"/>
      <c r="F78" s="5" t="str">
        <f>_xlfn.XLOOKUP($B78,Base!D:D,Base!R:R)</f>
        <v>Deepak Jha</v>
      </c>
      <c r="G78" s="70"/>
      <c r="H78" s="70"/>
      <c r="I78" s="70"/>
      <c r="J78" s="1"/>
      <c r="K78" s="1"/>
    </row>
    <row r="79" spans="2:11" x14ac:dyDescent="0.35">
      <c r="B79" s="8" t="str">
        <v>Mavee Foods Private Limited</v>
      </c>
      <c r="C79" s="9">
        <f>SUMIFS(Base!F:F,Base!D:D,view!B79)</f>
        <v>104646.5</v>
      </c>
      <c r="D79" s="9">
        <f>SUMIFS(Base!I:I,Base!D:D,view!B79)</f>
        <v>16804</v>
      </c>
      <c r="E79" s="9"/>
      <c r="F79" s="5" t="str">
        <f>_xlfn.XLOOKUP($B79,Base!D:D,Base!R:R)</f>
        <v>Sahilesh</v>
      </c>
      <c r="G79" s="70"/>
      <c r="H79" s="70"/>
      <c r="I79" s="70"/>
      <c r="J79" s="1"/>
      <c r="K79" s="1"/>
    </row>
    <row r="80" spans="2:11" x14ac:dyDescent="0.35">
      <c r="B80" s="8" t="str">
        <v>STYLE WAVES LLP</v>
      </c>
      <c r="C80" s="9">
        <f>SUMIFS(Base!F:F,Base!D:D,view!B80)</f>
        <v>94712.59</v>
      </c>
      <c r="D80" s="9">
        <f>SUMIFS(Base!I:I,Base!D:D,view!B80)</f>
        <v>3188</v>
      </c>
      <c r="E80" s="9"/>
      <c r="F80" s="5" t="str">
        <f>_xlfn.XLOOKUP($B80,Base!D:D,Base!R:R)</f>
        <v>Deepak Jha</v>
      </c>
      <c r="G80" s="70"/>
      <c r="H80" s="70"/>
      <c r="I80" s="70"/>
      <c r="J80" s="1"/>
      <c r="K80" s="1"/>
    </row>
    <row r="81" spans="2:11" x14ac:dyDescent="0.35">
      <c r="B81" s="8" t="str">
        <v>KING CORE</v>
      </c>
      <c r="C81" s="9">
        <f>SUMIFS(Base!F:F,Base!D:D,view!B81)</f>
        <v>108651.7</v>
      </c>
      <c r="D81" s="9">
        <f>SUMIFS(Base!I:I,Base!D:D,view!B81)</f>
        <v>16772</v>
      </c>
      <c r="E81" s="9"/>
      <c r="F81" s="5" t="str">
        <f>_xlfn.XLOOKUP($B81,Base!D:D,Base!R:R)</f>
        <v>Pooja</v>
      </c>
      <c r="G81" s="70"/>
      <c r="H81" s="70"/>
      <c r="I81" s="70"/>
      <c r="J81" s="1"/>
      <c r="K81" s="1"/>
    </row>
    <row r="82" spans="2:11" x14ac:dyDescent="0.35">
      <c r="B82" s="8" t="str">
        <v>COSMOS INTERNATIONAL</v>
      </c>
      <c r="C82" s="9">
        <f>SUMIFS(Base!F:F,Base!D:D,view!B82)</f>
        <v>118041.60000000001</v>
      </c>
      <c r="D82" s="9">
        <f>SUMIFS(Base!I:I,Base!D:D,view!B82)</f>
        <v>18749</v>
      </c>
      <c r="E82" s="9"/>
      <c r="F82" s="5" t="str">
        <f>_xlfn.XLOOKUP($B82,Base!D:D,Base!R:R)</f>
        <v>Deepak Jha</v>
      </c>
      <c r="G82" s="70"/>
      <c r="H82" s="70"/>
      <c r="I82" s="70"/>
      <c r="J82" s="1"/>
      <c r="K82" s="1"/>
    </row>
    <row r="83" spans="2:11" x14ac:dyDescent="0.35">
      <c r="B83" s="8" t="str">
        <v>JK GYPSUM PRIVATE LIMITED</v>
      </c>
      <c r="C83" s="9">
        <f>SUMIFS(Base!F:F,Base!D:D,view!B83)</f>
        <v>166970.1</v>
      </c>
      <c r="D83" s="9">
        <f>SUMIFS(Base!I:I,Base!D:D,view!B83)</f>
        <v>29595</v>
      </c>
      <c r="E83" s="9"/>
      <c r="F83" s="5" t="str">
        <f>_xlfn.XLOOKUP($B83,Base!D:D,Base!R:R)</f>
        <v>Aditi</v>
      </c>
      <c r="G83" s="70"/>
      <c r="H83" s="70"/>
      <c r="I83" s="70"/>
      <c r="J83" s="1"/>
      <c r="K83" s="1"/>
    </row>
    <row r="84" spans="2:11" x14ac:dyDescent="0.35">
      <c r="B84" s="8" t="str">
        <v>ALPINO HEALTH FOODS PRIVATE LIMITED</v>
      </c>
      <c r="C84" s="9">
        <f>SUMIFS(Base!F:F,Base!D:D,view!B84)</f>
        <v>154258.29999999999</v>
      </c>
      <c r="D84" s="9">
        <f>SUMIFS(Base!I:I,Base!D:D,view!B84)</f>
        <v>11233</v>
      </c>
      <c r="E84" s="9"/>
      <c r="F84" s="5" t="str">
        <f>_xlfn.XLOOKUP($B84,Base!D:D,Base!R:R)</f>
        <v>Pooja</v>
      </c>
      <c r="G84" s="70"/>
      <c r="H84" s="70"/>
      <c r="I84" s="70"/>
      <c r="J84" s="1"/>
      <c r="K84" s="1"/>
    </row>
    <row r="85" spans="2:11" x14ac:dyDescent="0.35">
      <c r="B85" s="8" t="str">
        <v>Rex Industries India Private Limited</v>
      </c>
      <c r="C85" s="9">
        <f>SUMIFS(Base!F:F,Base!D:D,view!B85)</f>
        <v>177681.6</v>
      </c>
      <c r="D85" s="9">
        <f>SUMIFS(Base!I:I,Base!D:D,view!B85)</f>
        <v>25272</v>
      </c>
      <c r="E85" s="9"/>
      <c r="F85" s="5" t="str">
        <f>_xlfn.XLOOKUP($B85,Base!D:D,Base!R:R)</f>
        <v>Rahul</v>
      </c>
      <c r="G85" s="70"/>
      <c r="H85" s="70"/>
      <c r="I85" s="70"/>
      <c r="J85" s="1"/>
      <c r="K85" s="1"/>
    </row>
    <row r="86" spans="2:11" x14ac:dyDescent="0.35">
      <c r="B86" s="8" t="str">
        <v>SANWARIYA ARTS</v>
      </c>
      <c r="C86" s="9">
        <f>SUMIFS(Base!F:F,Base!D:D,view!B86)</f>
        <v>204183.8</v>
      </c>
      <c r="D86" s="9">
        <f>SUMIFS(Base!I:I,Base!D:D,view!B86)</f>
        <v>33047</v>
      </c>
      <c r="E86" s="9"/>
      <c r="F86" s="5" t="str">
        <f>_xlfn.XLOOKUP($B86,Base!D:D,Base!R:R)</f>
        <v>Pooja</v>
      </c>
      <c r="G86" s="70"/>
      <c r="H86" s="70"/>
      <c r="I86" s="70"/>
      <c r="J86" s="1"/>
      <c r="K86" s="1"/>
    </row>
    <row r="87" spans="2:11" x14ac:dyDescent="0.35">
      <c r="B87" s="8" t="str">
        <v>HAPPILO INTERNATIONAL PRIVATE LIMITED</v>
      </c>
      <c r="C87" s="9">
        <f>SUMIFS(Base!F:F,Base!D:D,view!B87)</f>
        <v>176249.9</v>
      </c>
      <c r="D87" s="9">
        <f>SUMIFS(Base!I:I,Base!D:D,view!B87)</f>
        <v>2648</v>
      </c>
      <c r="E87" s="9"/>
      <c r="F87" s="5" t="str">
        <f>_xlfn.XLOOKUP($B87,Base!D:D,Base!R:R)</f>
        <v>Harisha</v>
      </c>
      <c r="G87" s="70"/>
      <c r="H87" s="70"/>
      <c r="I87" s="70"/>
      <c r="J87" s="1"/>
      <c r="K87" s="1"/>
    </row>
    <row r="88" spans="2:11" x14ac:dyDescent="0.35">
      <c r="B88" s="8" t="str">
        <v>TIBREWALA ELECTRONICS LIMITED</v>
      </c>
      <c r="C88" s="9">
        <f>SUMIFS(Base!F:F,Base!D:D,view!B88)</f>
        <v>207623.9</v>
      </c>
      <c r="D88" s="9">
        <f>SUMIFS(Base!I:I,Base!D:D,view!B88)</f>
        <v>8211</v>
      </c>
      <c r="E88" s="9"/>
      <c r="F88" s="5" t="str">
        <f>_xlfn.XLOOKUP($B88,Base!D:D,Base!R:R)</f>
        <v>Sahilesh</v>
      </c>
      <c r="G88" s="70"/>
      <c r="H88" s="70"/>
      <c r="I88" s="70"/>
      <c r="J88" s="1"/>
      <c r="K88" s="1"/>
    </row>
    <row r="89" spans="2:11" x14ac:dyDescent="0.35">
      <c r="B89" s="8" t="str">
        <v>ADITYA ENTERPRISES</v>
      </c>
      <c r="C89" s="9">
        <f>SUMIFS(Base!F:F,Base!D:D,view!B89)</f>
        <v>268428.79999999999</v>
      </c>
      <c r="D89" s="9">
        <f>SUMIFS(Base!I:I,Base!D:D,view!B89)</f>
        <v>68935</v>
      </c>
      <c r="E89" s="9"/>
      <c r="F89" s="5" t="str">
        <f>_xlfn.XLOOKUP($B89,Base!D:D,Base!R:R)</f>
        <v>Deepak Jha</v>
      </c>
      <c r="G89" s="70"/>
      <c r="H89" s="70"/>
      <c r="I89" s="70"/>
      <c r="J89" s="1"/>
      <c r="K89" s="1"/>
    </row>
    <row r="90" spans="2:11" x14ac:dyDescent="0.35">
      <c r="B90" s="8" t="str">
        <v>DABSTER INTERNATIONAL PRIVATE LIMITED</v>
      </c>
      <c r="C90" s="9">
        <f>SUMIFS(Base!F:F,Base!D:D,view!B90)</f>
        <v>298877</v>
      </c>
      <c r="D90" s="9">
        <f>SUMIFS(Base!I:I,Base!D:D,view!B90)</f>
        <v>87148</v>
      </c>
      <c r="E90" s="9"/>
      <c r="F90" s="5" t="str">
        <f>_xlfn.XLOOKUP($B90,Base!D:D,Base!R:R)</f>
        <v>Kaushal</v>
      </c>
      <c r="G90" s="70"/>
      <c r="H90" s="70"/>
      <c r="I90" s="70"/>
      <c r="J90" s="1"/>
      <c r="K90" s="1"/>
    </row>
    <row r="91" spans="2:11" x14ac:dyDescent="0.35">
      <c r="B91" s="8" t="str">
        <v>CLASSIC DISPLAY SYSTEMS PRIVATE LIMITED</v>
      </c>
      <c r="C91" s="9">
        <f>SUMIFS(Base!F:F,Base!D:D,view!B91)</f>
        <v>328959.09999999998</v>
      </c>
      <c r="D91" s="9">
        <f>SUMIFS(Base!I:I,Base!D:D,view!B91)</f>
        <v>81227</v>
      </c>
      <c r="E91" s="9"/>
      <c r="F91" s="5" t="str">
        <f>_xlfn.XLOOKUP($B91,Base!D:D,Base!R:R)</f>
        <v>Deepak Jha</v>
      </c>
      <c r="G91" s="70"/>
      <c r="H91" s="70"/>
      <c r="I91" s="70"/>
      <c r="J91" s="1"/>
      <c r="K91" s="1"/>
    </row>
    <row r="92" spans="2:11" x14ac:dyDescent="0.35">
      <c r="B92" s="8" t="str">
        <v>4THD PHARMA PRIVATE LIMITED</v>
      </c>
      <c r="C92" s="9">
        <f>SUMIFS(Base!F:F,Base!D:D,view!B92)</f>
        <v>411415.2</v>
      </c>
      <c r="D92" s="9">
        <f>SUMIFS(Base!I:I,Base!D:D,view!B92)</f>
        <v>76296</v>
      </c>
      <c r="E92" s="9"/>
      <c r="F92" s="5" t="str">
        <f>_xlfn.XLOOKUP($B92,Base!D:D,Base!R:R)</f>
        <v>Deepak Jha</v>
      </c>
      <c r="G92" s="70"/>
      <c r="H92" s="70"/>
      <c r="I92" s="70"/>
      <c r="J92" s="1"/>
      <c r="K92" s="1"/>
    </row>
    <row r="93" spans="2:11" x14ac:dyDescent="0.35">
      <c r="B93" s="8" t="str">
        <v>MEDITREE LIFECARE LLP</v>
      </c>
      <c r="C93" s="9">
        <f>SUMIFS(Base!F:F,Base!D:D,view!B93)</f>
        <v>385107.5</v>
      </c>
      <c r="D93" s="9">
        <f>SUMIFS(Base!I:I,Base!D:D,view!B93)</f>
        <v>42942</v>
      </c>
      <c r="E93" s="9"/>
      <c r="F93" s="5" t="str">
        <f>_xlfn.XLOOKUP($B93,Base!D:D,Base!R:R)</f>
        <v>Shekhar</v>
      </c>
      <c r="G93" s="70"/>
      <c r="H93" s="70"/>
      <c r="I93" s="70"/>
      <c r="J93" s="1"/>
      <c r="K93" s="1"/>
    </row>
    <row r="94" spans="2:11" x14ac:dyDescent="0.35">
      <c r="B94" s="8" t="str">
        <v>SAYAJI FOODS PRIVATE LIMITED</v>
      </c>
      <c r="C94" s="9">
        <f>SUMIFS(Base!F:F,Base!D:D,view!B94)</f>
        <v>395339.6</v>
      </c>
      <c r="D94" s="9">
        <f>SUMIFS(Base!I:I,Base!D:D,view!B94)</f>
        <v>26868</v>
      </c>
      <c r="E94" s="9"/>
      <c r="F94" s="5" t="str">
        <f>_xlfn.XLOOKUP($B94,Base!D:D,Base!R:R)</f>
        <v>Pratik</v>
      </c>
      <c r="G94" s="70"/>
      <c r="H94" s="70"/>
      <c r="I94" s="70"/>
      <c r="J94" s="1"/>
      <c r="K94" s="1"/>
    </row>
    <row r="95" spans="2:11" x14ac:dyDescent="0.35">
      <c r="B95" s="8" t="str">
        <v>BRIGHT LIFECARE PRIVATE LIMITED</v>
      </c>
      <c r="C95" s="9">
        <f>SUMIFS(Base!F:F,Base!D:D,view!B95)</f>
        <v>452451.4</v>
      </c>
      <c r="D95" s="9">
        <f>SUMIFS(Base!I:I,Base!D:D,view!B95)</f>
        <v>45880</v>
      </c>
      <c r="E95" s="9"/>
      <c r="F95" s="5" t="str">
        <f>_xlfn.XLOOKUP($B95,Base!D:D,Base!R:R)</f>
        <v>Tasleem</v>
      </c>
      <c r="G95" s="70"/>
      <c r="H95" s="70"/>
      <c r="I95" s="70"/>
      <c r="J95" s="1"/>
      <c r="K95" s="1"/>
    </row>
    <row r="96" spans="2:11" x14ac:dyDescent="0.35">
      <c r="B96" s="8" t="str">
        <v>LOADNETIC SOLUTIONS PRIVATE LIMITED</v>
      </c>
      <c r="C96" s="9">
        <f>SUMIFS(Base!F:F,Base!D:D,view!B96)</f>
        <v>603263.19999999995</v>
      </c>
      <c r="D96" s="9">
        <f>SUMIFS(Base!I:I,Base!D:D,view!B96)</f>
        <v>167251</v>
      </c>
      <c r="E96" s="9"/>
      <c r="F96" s="5" t="str">
        <f>_xlfn.XLOOKUP($B96,Base!D:D,Base!R:R)</f>
        <v>Pratik</v>
      </c>
      <c r="G96" s="70"/>
      <c r="H96" s="70"/>
      <c r="I96" s="70"/>
      <c r="J96" s="1"/>
      <c r="K96" s="1"/>
    </row>
    <row r="97" spans="2:12" x14ac:dyDescent="0.35">
      <c r="B97" s="8" t="str">
        <v>TATA 1MG HEALTHCARE SOLUTIONS PRIVATE LIMITED</v>
      </c>
      <c r="C97" s="9">
        <f>SUMIFS(Base!F:F,Base!D:D,view!B97)</f>
        <v>463274.6</v>
      </c>
      <c r="D97" s="9">
        <f>SUMIFS(Base!I:I,Base!D:D,view!B97)</f>
        <v>4806</v>
      </c>
      <c r="E97" s="9"/>
      <c r="F97" s="5" t="str">
        <f>_xlfn.XLOOKUP($B97,Base!D:D,Base!R:R)</f>
        <v>Gaurav</v>
      </c>
      <c r="G97" s="70"/>
      <c r="H97" s="70"/>
      <c r="I97" s="70"/>
      <c r="J97" s="1"/>
      <c r="K97" s="1"/>
    </row>
    <row r="98" spans="2:12" x14ac:dyDescent="0.35">
      <c r="B98" s="10"/>
      <c r="C98" s="1"/>
      <c r="D98" s="1"/>
      <c r="I98" s="10"/>
      <c r="J98" s="1"/>
      <c r="K98" s="1"/>
      <c r="L98" s="1"/>
    </row>
    <row r="99" spans="2:12" x14ac:dyDescent="0.35">
      <c r="B99" s="3" t="s">
        <v>857</v>
      </c>
      <c r="F99" s="1">
        <f>SUM(F101:F120)</f>
        <v>-21307509.299999997</v>
      </c>
    </row>
    <row r="100" spans="2:12" x14ac:dyDescent="0.35">
      <c r="B100" s="7" t="s">
        <v>0</v>
      </c>
      <c r="C100" s="7" t="s">
        <v>1605</v>
      </c>
      <c r="D100" s="7" t="s">
        <v>1609</v>
      </c>
      <c r="E100" s="7" t="s">
        <v>858</v>
      </c>
      <c r="F100" s="7" t="s">
        <v>859</v>
      </c>
      <c r="G100" s="7" t="s">
        <v>853</v>
      </c>
      <c r="H100" s="7" t="s">
        <v>809</v>
      </c>
      <c r="I100" s="7" t="s">
        <v>855</v>
      </c>
    </row>
    <row r="101" spans="2:12" x14ac:dyDescent="0.35">
      <c r="B101" s="8" t="str" cm="1">
        <f t="array" ref="B101:B120">_xlfn._xlws.FILTER(Base!D:D,Base!M:M="Bottom 20", "No clients found")</f>
        <v>DSR FREIGHT CARRIER PRIVATE LIMITED</v>
      </c>
      <c r="C101" s="9">
        <f>SUMIFS(Base!$F:$F,Base!D:D,view!B101)</f>
        <v>1823659</v>
      </c>
      <c r="D101" s="9">
        <f>SUMIFS(Base!I:I,Base!D:D,view!B101)</f>
        <v>1327204</v>
      </c>
      <c r="E101" s="11">
        <f>(D101-C101)/C101</f>
        <v>-0.2722301702237096</v>
      </c>
      <c r="F101" s="9">
        <f>D101-C101</f>
        <v>-496455</v>
      </c>
      <c r="G101" s="9"/>
      <c r="H101" s="5" t="str">
        <f>_xlfn.XLOOKUP($B101,Base!D:D,Base!R:R)</f>
        <v>Abhishek</v>
      </c>
      <c r="I101" s="12"/>
    </row>
    <row r="102" spans="2:12" x14ac:dyDescent="0.35">
      <c r="B102" s="8" t="str">
        <v>ITHINK LOGISTIC QUICK SERVICES PRIVATE LIMITED</v>
      </c>
      <c r="C102" s="9">
        <f>SUMIFS(Base!$F:$F,Base!D:D,view!B102)</f>
        <v>699075.1</v>
      </c>
      <c r="D102" s="9">
        <f>SUMIFS(Base!I:I,Base!D:D,view!B102)</f>
        <v>191994</v>
      </c>
      <c r="E102" s="11">
        <f t="shared" ref="E102:E120" si="0">(D102-C102)/C102</f>
        <v>-0.72535997920681194</v>
      </c>
      <c r="F102" s="9">
        <f t="shared" ref="F102:F120" si="1">D102-C102</f>
        <v>-507081.1</v>
      </c>
      <c r="G102" s="9"/>
      <c r="H102" s="5" t="str">
        <f>_xlfn.XLOOKUP($B102,Base!D:D,Base!R:R)</f>
        <v>Abhishek</v>
      </c>
      <c r="I102" s="12"/>
    </row>
    <row r="103" spans="2:12" x14ac:dyDescent="0.35">
      <c r="B103" s="8" t="str">
        <v>FAMOUS ROADLINES</v>
      </c>
      <c r="C103" s="9">
        <f>SUMIFS(Base!$F:$F,Base!D:D,view!B103)</f>
        <v>870195.4</v>
      </c>
      <c r="D103" s="9">
        <f>SUMIFS(Base!I:I,Base!D:D,view!B103)</f>
        <v>328481</v>
      </c>
      <c r="E103" s="11">
        <f t="shared" si="0"/>
        <v>-0.62252041323132712</v>
      </c>
      <c r="F103" s="9">
        <f t="shared" si="1"/>
        <v>-541714.4</v>
      </c>
      <c r="G103" s="9"/>
      <c r="H103" s="5" t="str">
        <f>_xlfn.XLOOKUP($B103,Base!D:D,Base!R:R)</f>
        <v>Subhash</v>
      </c>
      <c r="I103" s="12"/>
    </row>
    <row r="104" spans="2:12" x14ac:dyDescent="0.35">
      <c r="B104" s="8" t="str">
        <v>PIKALL LOGISTICS MANAGEMENT LLP</v>
      </c>
      <c r="C104" s="9">
        <f>SUMIFS(Base!$F:$F,Base!D:D,view!B104)</f>
        <v>1478729</v>
      </c>
      <c r="D104" s="9">
        <f>SUMIFS(Base!I:I,Base!D:D,view!B104)</f>
        <v>885172</v>
      </c>
      <c r="E104" s="11">
        <f t="shared" si="0"/>
        <v>-0.40139674003823556</v>
      </c>
      <c r="F104" s="9">
        <f t="shared" si="1"/>
        <v>-593557</v>
      </c>
      <c r="G104" s="9"/>
      <c r="H104" s="5" t="str">
        <f>_xlfn.XLOOKUP($B104,Base!D:D,Base!R:R)</f>
        <v>Chandresh</v>
      </c>
      <c r="I104" s="12"/>
    </row>
    <row r="105" spans="2:12" x14ac:dyDescent="0.35">
      <c r="B105" s="8" t="str">
        <v>GLOBATE 360 SOLUTIONS PRIVATE LIMITED</v>
      </c>
      <c r="C105" s="9">
        <f>SUMIFS(Base!$F:$F,Base!D:D,view!B105)</f>
        <v>749911.7</v>
      </c>
      <c r="D105" s="9">
        <f>SUMIFS(Base!I:I,Base!D:D,view!B105)</f>
        <v>97958</v>
      </c>
      <c r="E105" s="11">
        <f t="shared" si="0"/>
        <v>-0.86937395429355213</v>
      </c>
      <c r="F105" s="9">
        <f t="shared" si="1"/>
        <v>-651953.69999999995</v>
      </c>
      <c r="G105" s="9"/>
      <c r="H105" s="5" t="str">
        <f>_xlfn.XLOOKUP($B105,Base!D:D,Base!R:R)</f>
        <v>Deepak Jha</v>
      </c>
      <c r="I105" s="12"/>
    </row>
    <row r="106" spans="2:12" x14ac:dyDescent="0.35">
      <c r="B106" s="8" t="str">
        <v>Dollar Industries Limited</v>
      </c>
      <c r="C106" s="9">
        <f>SUMIFS(Base!$F:$F,Base!D:D,view!B106)</f>
        <v>2047308</v>
      </c>
      <c r="D106" s="9">
        <f>SUMIFS(Base!I:I,Base!D:D,view!B106)</f>
        <v>1381802</v>
      </c>
      <c r="E106" s="11">
        <f t="shared" si="0"/>
        <v>-0.32506393761954722</v>
      </c>
      <c r="F106" s="9">
        <f t="shared" si="1"/>
        <v>-665506</v>
      </c>
      <c r="G106" s="9"/>
      <c r="H106" s="5" t="str">
        <f>_xlfn.XLOOKUP($B106,Base!D:D,Base!R:R)</f>
        <v>Pallavi</v>
      </c>
      <c r="I106" s="12"/>
    </row>
    <row r="107" spans="2:12" x14ac:dyDescent="0.35">
      <c r="B107" s="8" t="str">
        <v>MICRO FOOTWEARS PVT. LTD</v>
      </c>
      <c r="C107" s="9">
        <f>SUMIFS(Base!$F:$F,Base!D:D,view!B107)</f>
        <v>1936400</v>
      </c>
      <c r="D107" s="9">
        <f>SUMIFS(Base!I:I,Base!D:D,view!B107)</f>
        <v>1157432</v>
      </c>
      <c r="E107" s="11">
        <f t="shared" si="0"/>
        <v>-0.40227638917579012</v>
      </c>
      <c r="F107" s="9">
        <f t="shared" si="1"/>
        <v>-778968</v>
      </c>
      <c r="G107" s="9"/>
      <c r="H107" s="5" t="str">
        <f>_xlfn.XLOOKUP($B107,Base!D:D,Base!R:R)</f>
        <v>Tasleem</v>
      </c>
      <c r="I107" s="12"/>
    </row>
    <row r="108" spans="2:12" x14ac:dyDescent="0.35">
      <c r="B108" s="8" t="str">
        <v>RADHAMANI TEXTILES PRIVATE LIMITED</v>
      </c>
      <c r="C108" s="9">
        <f>SUMIFS(Base!$F:$F,Base!D:D,view!B108)</f>
        <v>1239221</v>
      </c>
      <c r="D108" s="9">
        <f>SUMIFS(Base!I:I,Base!D:D,view!B108)</f>
        <v>447638</v>
      </c>
      <c r="E108" s="11">
        <f t="shared" si="0"/>
        <v>-0.63877468183641173</v>
      </c>
      <c r="F108" s="9">
        <f t="shared" si="1"/>
        <v>-791583</v>
      </c>
      <c r="G108" s="9"/>
      <c r="H108" s="5" t="str">
        <f>_xlfn.XLOOKUP($B108,Base!D:D,Base!R:R)</f>
        <v>Harisha</v>
      </c>
      <c r="I108" s="12"/>
    </row>
    <row r="109" spans="2:12" x14ac:dyDescent="0.35">
      <c r="B109" s="8" t="str">
        <v>B. VISHAL CORPORATION</v>
      </c>
      <c r="C109" s="9">
        <f>SUMIFS(Base!$F:$F,Base!D:D,view!B109)</f>
        <v>1137024</v>
      </c>
      <c r="D109" s="9">
        <f>SUMIFS(Base!I:I,Base!D:D,view!B109)</f>
        <v>322589</v>
      </c>
      <c r="E109" s="11">
        <f t="shared" si="0"/>
        <v>-0.71628655155915799</v>
      </c>
      <c r="F109" s="9">
        <f t="shared" si="1"/>
        <v>-814435</v>
      </c>
      <c r="G109" s="9"/>
      <c r="H109" s="5" t="str">
        <f>_xlfn.XLOOKUP($B109,Base!D:D,Base!R:R)</f>
        <v>Pratik</v>
      </c>
      <c r="I109" s="12"/>
    </row>
    <row r="110" spans="2:12" x14ac:dyDescent="0.35">
      <c r="B110" s="8" t="str">
        <v>ZEBRONICS INDIA PRIVATE LIMITED</v>
      </c>
      <c r="C110" s="9">
        <f>SUMIFS(Base!$F:$F,Base!D:D,view!B110)</f>
        <v>1701993</v>
      </c>
      <c r="D110" s="9">
        <f>SUMIFS(Base!I:I,Base!D:D,view!B110)</f>
        <v>781372</v>
      </c>
      <c r="E110" s="11">
        <f t="shared" si="0"/>
        <v>-0.54090763005488274</v>
      </c>
      <c r="F110" s="9">
        <f t="shared" si="1"/>
        <v>-920621</v>
      </c>
      <c r="G110" s="9"/>
      <c r="H110" s="5" t="str">
        <f>_xlfn.XLOOKUP($B110,Base!D:D,Base!R:R)</f>
        <v>Padma</v>
      </c>
      <c r="I110" s="12"/>
    </row>
    <row r="111" spans="2:12" x14ac:dyDescent="0.35">
      <c r="B111" s="8" t="str">
        <v>ADIDAS INDIA MARKETING PRIVATE LIMITED</v>
      </c>
      <c r="C111" s="9">
        <f>SUMIFS(Base!$F:$F,Base!D:D,view!B111)</f>
        <v>3857664</v>
      </c>
      <c r="D111" s="9">
        <f>SUMIFS(Base!I:I,Base!D:D,view!B111)</f>
        <v>2836295</v>
      </c>
      <c r="E111" s="11">
        <f t="shared" si="0"/>
        <v>-0.26476359786648085</v>
      </c>
      <c r="F111" s="9">
        <f t="shared" si="1"/>
        <v>-1021369</v>
      </c>
      <c r="G111" s="9"/>
      <c r="H111" s="5" t="str">
        <f>_xlfn.XLOOKUP($B111,Base!D:D,Base!R:R)</f>
        <v>Tasleem</v>
      </c>
      <c r="I111" s="12"/>
    </row>
    <row r="112" spans="2:12" x14ac:dyDescent="0.35">
      <c r="B112" s="8" t="str">
        <v>MOSAIC WELLNESS PRIVATE LIMITED</v>
      </c>
      <c r="C112" s="9">
        <f>SUMIFS(Base!$F:$F,Base!D:D,view!B112)</f>
        <v>1450376</v>
      </c>
      <c r="D112" s="9">
        <f>SUMIFS(Base!I:I,Base!D:D,view!B112)</f>
        <v>421748</v>
      </c>
      <c r="E112" s="11">
        <f t="shared" si="0"/>
        <v>-0.70921471397761682</v>
      </c>
      <c r="F112" s="9">
        <f t="shared" si="1"/>
        <v>-1028628</v>
      </c>
      <c r="G112" s="9"/>
      <c r="H112" s="5" t="str">
        <f>_xlfn.XLOOKUP($B112,Base!D:D,Base!R:R)</f>
        <v>Aditi</v>
      </c>
      <c r="I112" s="12"/>
    </row>
    <row r="113" spans="2:9" x14ac:dyDescent="0.35">
      <c r="B113" s="8" t="str">
        <v>PUREPLAY SKIN SCIENCES (INDIA) PRIVATE LIMITED</v>
      </c>
      <c r="C113" s="9">
        <f>SUMIFS(Base!$F:$F,Base!D:D,view!B113)</f>
        <v>2161493</v>
      </c>
      <c r="D113" s="9">
        <f>SUMIFS(Base!I:I,Base!D:D,view!B113)</f>
        <v>1119185</v>
      </c>
      <c r="E113" s="11">
        <f t="shared" si="0"/>
        <v>-0.48221669003785811</v>
      </c>
      <c r="F113" s="9">
        <f t="shared" si="1"/>
        <v>-1042308</v>
      </c>
      <c r="G113" s="9"/>
      <c r="H113" s="5" t="str">
        <f>_xlfn.XLOOKUP($B113,Base!D:D,Base!R:R)</f>
        <v>Aditi</v>
      </c>
      <c r="I113" s="12"/>
    </row>
    <row r="114" spans="2:9" x14ac:dyDescent="0.35">
      <c r="B114" s="8" t="str">
        <v>CULTSPORT PRIVATE LIMITED</v>
      </c>
      <c r="C114" s="9">
        <f>SUMIFS(Base!$F:$F,Base!D:D,view!B114)</f>
        <v>4235537</v>
      </c>
      <c r="D114" s="9">
        <f>SUMIFS(Base!I:I,Base!D:D,view!B114)</f>
        <v>3174783</v>
      </c>
      <c r="E114" s="11">
        <f t="shared" si="0"/>
        <v>-0.25044144343444524</v>
      </c>
      <c r="F114" s="9">
        <f t="shared" si="1"/>
        <v>-1060754</v>
      </c>
      <c r="G114" s="9"/>
      <c r="H114" s="5" t="str">
        <f>_xlfn.XLOOKUP($B114,Base!D:D,Base!R:R)</f>
        <v>Harisha</v>
      </c>
      <c r="I114" s="12"/>
    </row>
    <row r="115" spans="2:9" x14ac:dyDescent="0.35">
      <c r="B115" s="8" t="str">
        <v>BENETTON INDIA PRIVATE LIMITED</v>
      </c>
      <c r="C115" s="9">
        <f>SUMIFS(Base!$F:$F,Base!D:D,view!B115)</f>
        <v>3153296</v>
      </c>
      <c r="D115" s="9">
        <f>SUMIFS(Base!I:I,Base!D:D,view!B115)</f>
        <v>2083204</v>
      </c>
      <c r="E115" s="11">
        <f t="shared" si="0"/>
        <v>-0.33935666045940499</v>
      </c>
      <c r="F115" s="9">
        <f t="shared" si="1"/>
        <v>-1070092</v>
      </c>
      <c r="G115" s="9"/>
      <c r="H115" s="5" t="str">
        <f>_xlfn.XLOOKUP($B115,Base!D:D,Base!R:R)</f>
        <v>Sanchit</v>
      </c>
      <c r="I115" s="12"/>
    </row>
    <row r="116" spans="2:9" x14ac:dyDescent="0.35">
      <c r="B116" s="8" t="str">
        <v>ARVIND LIFESTYLE BRANDS LIMITED</v>
      </c>
      <c r="C116" s="9">
        <f>SUMIFS(Base!$F:$F,Base!D:D,view!B116)</f>
        <v>3128400.1</v>
      </c>
      <c r="D116" s="9">
        <f>SUMIFS(Base!I:I,Base!D:D,view!B116)</f>
        <v>1870248</v>
      </c>
      <c r="E116" s="11">
        <f t="shared" si="0"/>
        <v>-0.40217109697701392</v>
      </c>
      <c r="F116" s="9">
        <f t="shared" si="1"/>
        <v>-1258152.1000000001</v>
      </c>
      <c r="G116" s="9"/>
      <c r="H116" s="5" t="str">
        <f>_xlfn.XLOOKUP($B116,Base!D:D,Base!R:R)</f>
        <v>Anjali</v>
      </c>
      <c r="I116" s="12"/>
    </row>
    <row r="117" spans="2:9" x14ac:dyDescent="0.35">
      <c r="B117" s="8" t="str">
        <v>HONASA CONSUMER LIMITED</v>
      </c>
      <c r="C117" s="9">
        <f>SUMIFS(Base!$F:$F,Base!D:D,view!B117)</f>
        <v>1939625</v>
      </c>
      <c r="D117" s="9">
        <f>SUMIFS(Base!I:I,Base!D:D,view!B117)</f>
        <v>608847</v>
      </c>
      <c r="E117" s="11">
        <f t="shared" si="0"/>
        <v>-0.68610066378810342</v>
      </c>
      <c r="F117" s="9">
        <f t="shared" si="1"/>
        <v>-1330778</v>
      </c>
      <c r="G117" s="9"/>
      <c r="H117" s="5" t="str">
        <f>_xlfn.XLOOKUP($B117,Base!D:D,Base!R:R)</f>
        <v>Gaurav</v>
      </c>
      <c r="I117" s="12"/>
    </row>
    <row r="118" spans="2:9" x14ac:dyDescent="0.35">
      <c r="B118" s="8" t="str">
        <v>ABROS SPORTS INTERNATIONAL PRIVATE LIMITED</v>
      </c>
      <c r="C118" s="9">
        <f>SUMIFS(Base!$F:$F,Base!D:D,view!B118)</f>
        <v>5158305</v>
      </c>
      <c r="D118" s="9">
        <f>SUMIFS(Base!I:I,Base!D:D,view!B118)</f>
        <v>3663682</v>
      </c>
      <c r="E118" s="11">
        <f t="shared" si="0"/>
        <v>-0.2897507999236183</v>
      </c>
      <c r="F118" s="9">
        <f t="shared" si="1"/>
        <v>-1494623</v>
      </c>
      <c r="G118" s="9"/>
      <c r="H118" s="5" t="str">
        <f>_xlfn.XLOOKUP($B118,Base!D:D,Base!R:R)</f>
        <v>Deepak Jha</v>
      </c>
      <c r="I118" s="12"/>
    </row>
    <row r="119" spans="2:9" x14ac:dyDescent="0.35">
      <c r="B119" s="8" t="str">
        <v>MVIKAS SUPER LOGISTICS PRIVATE LIMITED</v>
      </c>
      <c r="C119" s="9">
        <f>SUMIFS(Base!$F:$F,Base!D:D,view!B119)</f>
        <v>2688568</v>
      </c>
      <c r="D119" s="9">
        <f>SUMIFS(Base!I:I,Base!D:D,view!B119)</f>
        <v>1160103</v>
      </c>
      <c r="E119" s="11">
        <f t="shared" si="0"/>
        <v>-0.56850524145195513</v>
      </c>
      <c r="F119" s="9">
        <f t="shared" si="1"/>
        <v>-1528465</v>
      </c>
      <c r="G119" s="9"/>
      <c r="H119" s="5" t="str">
        <f>_xlfn.XLOOKUP($B119,Base!D:D,Base!R:R)</f>
        <v>Gaurav</v>
      </c>
      <c r="I119" s="12"/>
    </row>
    <row r="120" spans="2:9" x14ac:dyDescent="0.35">
      <c r="B120" s="8" t="str">
        <v>MANASH LIFESTYLE PRIVATE LIMITED</v>
      </c>
      <c r="C120" s="9">
        <f>SUMIFS(Base!$F:$F,Base!D:D,view!B120)</f>
        <v>9030966</v>
      </c>
      <c r="D120" s="9">
        <f>SUMIFS(Base!I:I,Base!D:D,view!B120)</f>
        <v>5320500</v>
      </c>
      <c r="E120" s="11">
        <f t="shared" si="0"/>
        <v>-0.41086036643256102</v>
      </c>
      <c r="F120" s="9">
        <f t="shared" si="1"/>
        <v>-3710466</v>
      </c>
      <c r="G120" s="9"/>
      <c r="H120" s="5" t="str">
        <f>_xlfn.XLOOKUP($B120,Base!D:D,Base!R:R)</f>
        <v>Avinash</v>
      </c>
      <c r="I120" s="12"/>
    </row>
    <row r="124" spans="2:9" x14ac:dyDescent="0.35">
      <c r="B124" s="3" t="s">
        <v>860</v>
      </c>
      <c r="C124" s="1">
        <f t="shared" ref="C124:D124" si="2">SUM(C126:C145)</f>
        <v>25134506.019999996</v>
      </c>
      <c r="D124" s="1">
        <f t="shared" si="2"/>
        <v>47851268</v>
      </c>
      <c r="F124" s="1">
        <f>SUM(F126:F145)</f>
        <v>22716761.980000004</v>
      </c>
    </row>
    <row r="125" spans="2:9" x14ac:dyDescent="0.35">
      <c r="B125" s="7" t="s">
        <v>861</v>
      </c>
      <c r="C125" s="7" t="s">
        <v>1605</v>
      </c>
      <c r="D125" s="7" t="s">
        <v>1609</v>
      </c>
      <c r="E125" s="7" t="s">
        <v>858</v>
      </c>
      <c r="F125" s="7" t="s">
        <v>859</v>
      </c>
    </row>
    <row r="126" spans="2:9" x14ac:dyDescent="0.35">
      <c r="B126" s="8" t="str" cm="1">
        <f t="array" ref="B126:B145">_xlfn._xlws.FILTER(Base!D:D,Base!M:M="Top 20", "No clients found")</f>
        <v>RAYMOND LIFESTYLE LIMITED</v>
      </c>
      <c r="C126" s="9">
        <f>SUMIFS(Base!$F:$F,Base!D:D,view!B126)</f>
        <v>8418640</v>
      </c>
      <c r="D126" s="9">
        <f>SUMIFS(Base!I:I,Base!D:D,view!B126)</f>
        <v>12830806</v>
      </c>
      <c r="E126" s="11">
        <f>IFERROR(((D126-C126)/C126),0)</f>
        <v>0.52409486567901709</v>
      </c>
      <c r="F126" s="9">
        <f>D126-C126</f>
        <v>4412166</v>
      </c>
    </row>
    <row r="127" spans="2:9" x14ac:dyDescent="0.35">
      <c r="B127" s="8" t="str">
        <v>CAMPUS ACTIVEWEAR LIMITED</v>
      </c>
      <c r="C127" s="9">
        <f>SUMIFS(Base!$F:$F,Base!D:D,view!B127)</f>
        <v>2143724</v>
      </c>
      <c r="D127" s="9">
        <f>SUMIFS(Base!I:I,Base!D:D,view!B127)</f>
        <v>5441432</v>
      </c>
      <c r="E127" s="11">
        <f t="shared" ref="E127:E145" si="3">IFERROR(((D127-C127)/C127),0)</f>
        <v>1.5383081030953611</v>
      </c>
      <c r="F127" s="9">
        <f t="shared" ref="F127:F145" si="4">D127-C127</f>
        <v>3297708</v>
      </c>
    </row>
    <row r="128" spans="2:9" x14ac:dyDescent="0.35">
      <c r="B128" s="8" t="str">
        <v>PUMA SPORTS INDIA PRIVATE LIMITED</v>
      </c>
      <c r="C128" s="9">
        <f>SUMIFS(Base!$F:$F,Base!D:D,view!B128)</f>
        <v>3558786</v>
      </c>
      <c r="D128" s="9">
        <f>SUMIFS(Base!I:I,Base!D:D,view!B128)</f>
        <v>5943354</v>
      </c>
      <c r="E128" s="11">
        <f t="shared" si="3"/>
        <v>0.67005096681845999</v>
      </c>
      <c r="F128" s="9">
        <f t="shared" si="4"/>
        <v>2384568</v>
      </c>
    </row>
    <row r="129" spans="2:6" x14ac:dyDescent="0.35">
      <c r="B129" s="8" t="str">
        <v>SIGNIFY INNOVATIONS INDIA LIMITED</v>
      </c>
      <c r="C129" s="9">
        <f>SUMIFS(Base!$F:$F,Base!D:D,view!B129)</f>
        <v>2038340</v>
      </c>
      <c r="D129" s="9">
        <f>SUMIFS(Base!I:I,Base!D:D,view!B129)</f>
        <v>3529964</v>
      </c>
      <c r="E129" s="11">
        <f t="shared" si="3"/>
        <v>0.73178370634928425</v>
      </c>
      <c r="F129" s="9">
        <f t="shared" si="4"/>
        <v>1491624</v>
      </c>
    </row>
    <row r="130" spans="2:6" x14ac:dyDescent="0.35">
      <c r="B130" s="8" t="str">
        <v>Page Industries Limited</v>
      </c>
      <c r="C130" s="9">
        <f>SUMIFS(Base!$F:$F,Base!D:D,view!B130)</f>
        <v>0</v>
      </c>
      <c r="D130" s="9">
        <f>SUMIFS(Base!I:I,Base!D:D,view!B130)</f>
        <v>1429574</v>
      </c>
      <c r="E130" s="11">
        <f t="shared" si="3"/>
        <v>0</v>
      </c>
      <c r="F130" s="9">
        <f t="shared" si="4"/>
        <v>1429574</v>
      </c>
    </row>
    <row r="131" spans="2:6" x14ac:dyDescent="0.35">
      <c r="B131" s="8" t="str">
        <v>HIMALAYA WELLNESS COMPANY</v>
      </c>
      <c r="C131" s="9">
        <f>SUMIFS(Base!$F:$F,Base!D:D,view!B131)</f>
        <v>685978.2</v>
      </c>
      <c r="D131" s="9">
        <f>SUMIFS(Base!I:I,Base!D:D,view!B131)</f>
        <v>1905884</v>
      </c>
      <c r="E131" s="11">
        <f t="shared" si="3"/>
        <v>1.7783448511920643</v>
      </c>
      <c r="F131" s="9">
        <f t="shared" si="4"/>
        <v>1219905.8</v>
      </c>
    </row>
    <row r="132" spans="2:6" x14ac:dyDescent="0.35">
      <c r="B132" s="8" t="str">
        <v>Turtle Limited</v>
      </c>
      <c r="C132" s="9">
        <f>SUMIFS(Base!$F:$F,Base!D:D,view!B132)</f>
        <v>46288.03</v>
      </c>
      <c r="D132" s="9">
        <f>SUMIFS(Base!I:I,Base!D:D,view!B132)</f>
        <v>1180349</v>
      </c>
      <c r="E132" s="11">
        <f t="shared" si="3"/>
        <v>24.500091492336139</v>
      </c>
      <c r="F132" s="9">
        <f t="shared" si="4"/>
        <v>1134060.97</v>
      </c>
    </row>
    <row r="133" spans="2:6" x14ac:dyDescent="0.35">
      <c r="B133" s="8" t="str">
        <v>REDTAPE LIMITED</v>
      </c>
      <c r="C133" s="9">
        <f>SUMIFS(Base!$F:$F,Base!D:D,view!B133)</f>
        <v>309341.90000000002</v>
      </c>
      <c r="D133" s="9">
        <f>SUMIFS(Base!I:I,Base!D:D,view!B133)</f>
        <v>1270466</v>
      </c>
      <c r="E133" s="11">
        <f t="shared" si="3"/>
        <v>3.1069961747826591</v>
      </c>
      <c r="F133" s="9">
        <f t="shared" si="4"/>
        <v>961124.1</v>
      </c>
    </row>
    <row r="134" spans="2:6" x14ac:dyDescent="0.35">
      <c r="B134" s="8" t="str">
        <v>SOUTHERN HEALTH FOODS PRIVATE LIMITED</v>
      </c>
      <c r="C134" s="9">
        <f>SUMIFS(Base!$F:$F,Base!D:D,view!B134)</f>
        <v>239584.9</v>
      </c>
      <c r="D134" s="9">
        <f>SUMIFS(Base!I:I,Base!D:D,view!B134)</f>
        <v>1034801</v>
      </c>
      <c r="E134" s="11">
        <f t="shared" si="3"/>
        <v>3.3191411478770156</v>
      </c>
      <c r="F134" s="9">
        <f t="shared" si="4"/>
        <v>795216.1</v>
      </c>
    </row>
    <row r="135" spans="2:6" x14ac:dyDescent="0.35">
      <c r="B135" s="8" t="str">
        <v>JUPITER LAMINATORS PRIVATE LIMITED</v>
      </c>
      <c r="C135" s="9">
        <f>SUMIFS(Base!$F:$F,Base!D:D,view!B135)</f>
        <v>66451.09</v>
      </c>
      <c r="D135" s="9">
        <f>SUMIFS(Base!I:I,Base!D:D,view!B135)</f>
        <v>724199</v>
      </c>
      <c r="E135" s="11">
        <f t="shared" si="3"/>
        <v>9.8982260486622575</v>
      </c>
      <c r="F135" s="9">
        <f t="shared" si="4"/>
        <v>657747.91</v>
      </c>
    </row>
    <row r="136" spans="2:6" x14ac:dyDescent="0.35">
      <c r="B136" s="8" t="str">
        <v>BOMBAY WHEELS</v>
      </c>
      <c r="C136" s="9">
        <f>SUMIFS(Base!$F:$F,Base!D:D,view!B136)</f>
        <v>111713.7</v>
      </c>
      <c r="D136" s="9">
        <f>SUMIFS(Base!I:I,Base!D:D,view!B136)</f>
        <v>736967</v>
      </c>
      <c r="E136" s="11">
        <f t="shared" si="3"/>
        <v>5.5969258918109421</v>
      </c>
      <c r="F136" s="9">
        <f t="shared" si="4"/>
        <v>625253.30000000005</v>
      </c>
    </row>
    <row r="137" spans="2:6" x14ac:dyDescent="0.35">
      <c r="B137" s="8" t="str">
        <v>Schneider Electric Private Limited</v>
      </c>
      <c r="C137" s="9">
        <f>SUMIFS(Base!$F:$F,Base!D:D,view!B137)</f>
        <v>0</v>
      </c>
      <c r="D137" s="9">
        <f>SUMIFS(Base!I:I,Base!D:D,view!B137)</f>
        <v>584941</v>
      </c>
      <c r="E137" s="11">
        <f t="shared" si="3"/>
        <v>0</v>
      </c>
      <c r="F137" s="9">
        <f t="shared" si="4"/>
        <v>584941</v>
      </c>
    </row>
    <row r="138" spans="2:6" x14ac:dyDescent="0.35">
      <c r="B138" s="8" t="str">
        <v>BATA INDIA LIMITED</v>
      </c>
      <c r="C138" s="9">
        <f>SUMIFS(Base!$F:$F,Base!D:D,view!B138)</f>
        <v>67335</v>
      </c>
      <c r="D138" s="9">
        <f>SUMIFS(Base!I:I,Base!D:D,view!B138)</f>
        <v>595525</v>
      </c>
      <c r="E138" s="11">
        <f t="shared" si="3"/>
        <v>7.8442117769362145</v>
      </c>
      <c r="F138" s="9">
        <f t="shared" si="4"/>
        <v>528190</v>
      </c>
    </row>
    <row r="139" spans="2:6" x14ac:dyDescent="0.35">
      <c r="B139" s="8" t="str">
        <v>FMI LTD</v>
      </c>
      <c r="C139" s="9">
        <f>SUMIFS(Base!$F:$F,Base!D:D,view!B139)</f>
        <v>425263</v>
      </c>
      <c r="D139" s="9">
        <f>SUMIFS(Base!I:I,Base!D:D,view!B139)</f>
        <v>935853</v>
      </c>
      <c r="E139" s="11">
        <f t="shared" si="3"/>
        <v>1.2006452477643246</v>
      </c>
      <c r="F139" s="9">
        <f t="shared" si="4"/>
        <v>510590</v>
      </c>
    </row>
    <row r="140" spans="2:6" x14ac:dyDescent="0.35">
      <c r="B140" s="8" t="str">
        <v>JAMBULOGIX PRIVATE LIMITED</v>
      </c>
      <c r="C140" s="9">
        <f>SUMIFS(Base!$F:$F,Base!D:D,view!B140)</f>
        <v>1235627</v>
      </c>
      <c r="D140" s="9">
        <f>SUMIFS(Base!I:I,Base!D:D,view!B140)</f>
        <v>1733732</v>
      </c>
      <c r="E140" s="11">
        <f t="shared" si="3"/>
        <v>0.40311922610949746</v>
      </c>
      <c r="F140" s="9">
        <f t="shared" si="4"/>
        <v>498105</v>
      </c>
    </row>
    <row r="141" spans="2:6" x14ac:dyDescent="0.35">
      <c r="B141" s="8" t="str">
        <v>Ola Electric Technologies Private Limited</v>
      </c>
      <c r="C141" s="9">
        <f>SUMIFS(Base!$F:$F,Base!D:D,view!B141)</f>
        <v>4269549</v>
      </c>
      <c r="D141" s="9">
        <f>SUMIFS(Base!I:I,Base!D:D,view!B141)</f>
        <v>4754392</v>
      </c>
      <c r="E141" s="11">
        <f t="shared" si="3"/>
        <v>0.1135583641269839</v>
      </c>
      <c r="F141" s="9">
        <f t="shared" si="4"/>
        <v>484843</v>
      </c>
    </row>
    <row r="142" spans="2:6" x14ac:dyDescent="0.35">
      <c r="B142" s="8" t="str">
        <v>RESILIENT INNOVATIONS PRIVATE LIMITED</v>
      </c>
      <c r="C142" s="9">
        <f>SUMIFS(Base!$F:$F,Base!D:D,view!B142)</f>
        <v>143708.4</v>
      </c>
      <c r="D142" s="9">
        <f>SUMIFS(Base!I:I,Base!D:D,view!B142)</f>
        <v>594291</v>
      </c>
      <c r="E142" s="11">
        <f t="shared" si="3"/>
        <v>3.1353950082249891</v>
      </c>
      <c r="F142" s="9">
        <f t="shared" si="4"/>
        <v>450582.6</v>
      </c>
    </row>
    <row r="143" spans="2:6" x14ac:dyDescent="0.35">
      <c r="B143" s="8" t="str">
        <v>RELIABLE INTERNATIONAL</v>
      </c>
      <c r="C143" s="9">
        <f>SUMIFS(Base!$F:$F,Base!D:D,view!B143)</f>
        <v>5592.2</v>
      </c>
      <c r="D143" s="9">
        <f>SUMIFS(Base!I:I,Base!D:D,view!B143)</f>
        <v>440669</v>
      </c>
      <c r="E143" s="11">
        <f t="shared" si="3"/>
        <v>77.800650906619936</v>
      </c>
      <c r="F143" s="9">
        <f t="shared" si="4"/>
        <v>435076.8</v>
      </c>
    </row>
    <row r="144" spans="2:6" x14ac:dyDescent="0.35">
      <c r="B144" s="8" t="str">
        <v>DUKE FASHION INDIA LTD</v>
      </c>
      <c r="C144" s="9">
        <f>SUMIFS(Base!$F:$F,Base!D:D,view!B144)</f>
        <v>275460.59999999998</v>
      </c>
      <c r="D144" s="9">
        <f>SUMIFS(Base!I:I,Base!D:D,view!B144)</f>
        <v>700051</v>
      </c>
      <c r="E144" s="11">
        <f t="shared" si="3"/>
        <v>1.5413834138167131</v>
      </c>
      <c r="F144" s="9">
        <f t="shared" si="4"/>
        <v>424590.4</v>
      </c>
    </row>
    <row r="145" spans="2:6" x14ac:dyDescent="0.35">
      <c r="B145" s="8" t="str">
        <v>Metro Brands Limited</v>
      </c>
      <c r="C145" s="9">
        <f>SUMIFS(Base!$F:$F,Base!D:D,view!B145)</f>
        <v>1093123</v>
      </c>
      <c r="D145" s="9">
        <f>SUMIFS(Base!I:I,Base!D:D,view!B145)</f>
        <v>1484018</v>
      </c>
      <c r="E145" s="11">
        <f t="shared" si="3"/>
        <v>0.35759470800632681</v>
      </c>
      <c r="F145" s="9">
        <f t="shared" si="4"/>
        <v>390895</v>
      </c>
    </row>
  </sheetData>
  <autoFilter ref="B125:F145" xr:uid="{F86DD3F0-1150-4F02-917C-D788979FBE11}"/>
  <mergeCells count="83">
    <mergeCell ref="G85:I85"/>
    <mergeCell ref="G86:I86"/>
    <mergeCell ref="G87:I87"/>
    <mergeCell ref="G88:I88"/>
    <mergeCell ref="G89:I89"/>
    <mergeCell ref="G92:I92"/>
    <mergeCell ref="G93:I93"/>
    <mergeCell ref="G94:I94"/>
    <mergeCell ref="G95:I95"/>
    <mergeCell ref="G97:I97"/>
    <mergeCell ref="G96:I96"/>
    <mergeCell ref="G91:I91"/>
    <mergeCell ref="G71:I71"/>
    <mergeCell ref="G72:I72"/>
    <mergeCell ref="G82:I82"/>
    <mergeCell ref="G73:I73"/>
    <mergeCell ref="G74:I74"/>
    <mergeCell ref="G75:I75"/>
    <mergeCell ref="G76:I76"/>
    <mergeCell ref="G77:I77"/>
    <mergeCell ref="G90:I90"/>
    <mergeCell ref="G78:I78"/>
    <mergeCell ref="G79:I79"/>
    <mergeCell ref="G80:I80"/>
    <mergeCell ref="G81:I81"/>
    <mergeCell ref="G83:I83"/>
    <mergeCell ref="G84:I84"/>
    <mergeCell ref="F22:I22"/>
    <mergeCell ref="F23:I23"/>
    <mergeCell ref="F24:I24"/>
    <mergeCell ref="F25:I25"/>
    <mergeCell ref="G64:I64"/>
    <mergeCell ref="F40:I40"/>
    <mergeCell ref="F41:I41"/>
    <mergeCell ref="F42:I42"/>
    <mergeCell ref="G62:I62"/>
    <mergeCell ref="G63:I63"/>
    <mergeCell ref="F35:I35"/>
    <mergeCell ref="F36:I36"/>
    <mergeCell ref="F37:I37"/>
    <mergeCell ref="F38:I38"/>
    <mergeCell ref="F39:I39"/>
    <mergeCell ref="F29:I29"/>
    <mergeCell ref="F17:I17"/>
    <mergeCell ref="F18:I18"/>
    <mergeCell ref="F19:I19"/>
    <mergeCell ref="F20:I20"/>
    <mergeCell ref="F21:I21"/>
    <mergeCell ref="F16:I16"/>
    <mergeCell ref="F11:I11"/>
    <mergeCell ref="F12:I12"/>
    <mergeCell ref="F13:I13"/>
    <mergeCell ref="F14:I14"/>
    <mergeCell ref="F15:I15"/>
    <mergeCell ref="F26:I26"/>
    <mergeCell ref="F27:I27"/>
    <mergeCell ref="G68:I68"/>
    <mergeCell ref="F28:I28"/>
    <mergeCell ref="G65:I65"/>
    <mergeCell ref="G66:I66"/>
    <mergeCell ref="G67:I67"/>
    <mergeCell ref="F30:I30"/>
    <mergeCell ref="F31:I31"/>
    <mergeCell ref="F33:I33"/>
    <mergeCell ref="F34:I34"/>
    <mergeCell ref="F32:I32"/>
    <mergeCell ref="F59:I59"/>
    <mergeCell ref="F54:I54"/>
    <mergeCell ref="F58:I58"/>
    <mergeCell ref="G69:I69"/>
    <mergeCell ref="G70:I70"/>
    <mergeCell ref="F43:I43"/>
    <mergeCell ref="F44:I44"/>
    <mergeCell ref="F45:I45"/>
    <mergeCell ref="F46:I46"/>
    <mergeCell ref="F47:I47"/>
    <mergeCell ref="F48:I48"/>
    <mergeCell ref="F49:I49"/>
    <mergeCell ref="F51:I51"/>
    <mergeCell ref="F53:I53"/>
    <mergeCell ref="F57:I57"/>
    <mergeCell ref="F55:I55"/>
    <mergeCell ref="F56:I56"/>
  </mergeCells>
  <conditionalFormatting sqref="D101:D120">
    <cfRule type="expression" dxfId="4" priority="1">
      <formula>D101&lt;G101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7"/>
  <sheetViews>
    <sheetView topLeftCell="C1" zoomScale="84" zoomScaleNormal="70" workbookViewId="0">
      <selection activeCell="B2" sqref="B2"/>
    </sheetView>
  </sheetViews>
  <sheetFormatPr defaultRowHeight="14.5" x14ac:dyDescent="0.35"/>
  <cols>
    <col min="1" max="1" width="40.54296875" hidden="1" customWidth="1"/>
    <col min="2" max="2" width="19" bestFit="1" customWidth="1"/>
    <col min="3" max="3" width="40.54296875" bestFit="1" customWidth="1"/>
    <col min="4" max="4" width="53.1796875" bestFit="1" customWidth="1"/>
    <col min="5" max="5" width="33.90625" bestFit="1" customWidth="1"/>
    <col min="6" max="6" width="20.90625" bestFit="1" customWidth="1"/>
    <col min="7" max="7" width="14" bestFit="1" customWidth="1"/>
    <col min="8" max="8" width="33.1796875" bestFit="1" customWidth="1"/>
    <col min="9" max="9" width="20.26953125" bestFit="1" customWidth="1"/>
    <col min="10" max="10" width="13.36328125" bestFit="1" customWidth="1"/>
    <col min="11" max="11" width="16.7265625" style="88" bestFit="1" customWidth="1"/>
    <col min="12" max="12" width="17.7265625" style="88" bestFit="1" customWidth="1"/>
    <col min="13" max="13" width="19.08984375" style="36" bestFit="1" customWidth="1"/>
    <col min="14" max="14" width="14.453125" bestFit="1" customWidth="1"/>
    <col min="15" max="15" width="12.453125" bestFit="1" customWidth="1"/>
    <col min="16" max="16" width="13" bestFit="1" customWidth="1"/>
    <col min="17" max="17" width="12.1796875" bestFit="1" customWidth="1"/>
    <col min="18" max="19" width="14.36328125" bestFit="1" customWidth="1"/>
    <col min="20" max="20" width="30.6328125" hidden="1" customWidth="1"/>
    <col min="21" max="21" width="21.7265625" hidden="1" customWidth="1"/>
    <col min="22" max="22" width="14.81640625" hidden="1" customWidth="1"/>
    <col min="23" max="23" width="16.7265625" hidden="1" customWidth="1"/>
    <col min="24" max="24" width="12.453125" hidden="1" customWidth="1"/>
    <col min="25" max="25" width="19.08984375" style="36" hidden="1" customWidth="1"/>
    <col min="26" max="26" width="5.81640625" bestFit="1" customWidth="1"/>
  </cols>
  <sheetData>
    <row r="1" spans="1:25" ht="15" thickBot="1" x14ac:dyDescent="0.4">
      <c r="E1">
        <f>SUBTOTAL(9,E3:E464)</f>
        <v>11717374</v>
      </c>
      <c r="F1">
        <f>SUBTOTAL(9,F3:F464)</f>
        <v>156058269.99999991</v>
      </c>
      <c r="G1">
        <f>F1/E1</f>
        <v>13.318536218098007</v>
      </c>
      <c r="H1">
        <f>SUBTOTAL(9,H3:H464)</f>
        <v>13384623.569999998</v>
      </c>
      <c r="I1">
        <f>SUBTOTAL(9,I3:I464)</f>
        <v>166966615</v>
      </c>
      <c r="J1">
        <f>I1/H1</f>
        <v>12.474509583835836</v>
      </c>
      <c r="T1" t="s">
        <v>1279</v>
      </c>
    </row>
    <row r="2" spans="1:25" ht="16" thickBot="1" x14ac:dyDescent="0.4">
      <c r="B2" s="75" t="s">
        <v>803</v>
      </c>
      <c r="C2" s="76" t="s">
        <v>386</v>
      </c>
      <c r="D2" s="77" t="s">
        <v>0</v>
      </c>
      <c r="E2" s="78" t="s">
        <v>1485</v>
      </c>
      <c r="F2" s="78" t="s">
        <v>1486</v>
      </c>
      <c r="G2" s="79" t="s">
        <v>1487</v>
      </c>
      <c r="H2" s="78" t="s">
        <v>1727</v>
      </c>
      <c r="I2" s="78" t="s">
        <v>1726</v>
      </c>
      <c r="J2" s="80" t="s">
        <v>1728</v>
      </c>
      <c r="K2" s="89" t="s">
        <v>804</v>
      </c>
      <c r="L2" s="89" t="s">
        <v>1478</v>
      </c>
      <c r="M2" s="81" t="s">
        <v>805</v>
      </c>
      <c r="N2" s="82" t="s">
        <v>806</v>
      </c>
      <c r="O2" s="82" t="s">
        <v>807</v>
      </c>
      <c r="P2" s="82" t="s">
        <v>1477</v>
      </c>
      <c r="Q2" s="82" t="s">
        <v>808</v>
      </c>
      <c r="R2" s="83" t="s">
        <v>809</v>
      </c>
      <c r="T2" s="42" t="s">
        <v>384</v>
      </c>
      <c r="U2" s="44" t="s">
        <v>385</v>
      </c>
      <c r="V2" s="45" t="s">
        <v>1278</v>
      </c>
      <c r="W2" s="46" t="s">
        <v>804</v>
      </c>
      <c r="X2" s="47" t="s">
        <v>807</v>
      </c>
      <c r="Y2" s="46" t="s">
        <v>805</v>
      </c>
    </row>
    <row r="3" spans="1:25" x14ac:dyDescent="0.35">
      <c r="A3" t="s">
        <v>774</v>
      </c>
      <c r="B3" s="66" t="s">
        <v>1721</v>
      </c>
      <c r="C3" s="67" t="s">
        <v>1610</v>
      </c>
      <c r="D3" s="68" t="s">
        <v>1611</v>
      </c>
      <c r="E3" s="59">
        <v>0</v>
      </c>
      <c r="F3" s="59">
        <v>0</v>
      </c>
      <c r="G3" s="34">
        <f>IFERROR((F3/E3),0)</f>
        <v>0</v>
      </c>
      <c r="H3" s="1">
        <v>820961</v>
      </c>
      <c r="I3" s="1">
        <v>8361860</v>
      </c>
      <c r="J3" s="64">
        <f>IFERROR((I3/H3),0)</f>
        <v>10.185453389381468</v>
      </c>
      <c r="K3" s="90">
        <f>I3-F3</f>
        <v>8361860</v>
      </c>
      <c r="L3" s="90">
        <f>(H3-E3)/1000</f>
        <v>820.96100000000001</v>
      </c>
      <c r="M3" s="55" t="s">
        <v>1061</v>
      </c>
      <c r="O3" s="19" t="e">
        <f>K3/F3</f>
        <v>#DIV/0!</v>
      </c>
      <c r="P3" s="19" t="e">
        <f>L3/(E3/1000)</f>
        <v>#DIV/0!</v>
      </c>
      <c r="R3" s="20" t="s">
        <v>1281</v>
      </c>
      <c r="T3">
        <v>0</v>
      </c>
      <c r="U3">
        <v>0</v>
      </c>
      <c r="V3" s="18">
        <f>IFERROR((U3/T3),0)</f>
        <v>0</v>
      </c>
      <c r="W3" s="4">
        <f>F3-U3</f>
        <v>0</v>
      </c>
      <c r="X3" s="19" t="e">
        <f>W3/F3</f>
        <v>#DIV/0!</v>
      </c>
      <c r="Y3" s="37"/>
    </row>
    <row r="4" spans="1:25" x14ac:dyDescent="0.35">
      <c r="A4" t="s">
        <v>745</v>
      </c>
      <c r="B4" s="66" t="s">
        <v>1061</v>
      </c>
      <c r="C4" s="67" t="s">
        <v>994</v>
      </c>
      <c r="D4" s="68" t="s">
        <v>4</v>
      </c>
      <c r="E4" s="59">
        <v>343560</v>
      </c>
      <c r="F4" s="60">
        <v>8418640</v>
      </c>
      <c r="G4" s="34">
        <f>IFERROR((F4/E4),0)</f>
        <v>24.504133193619747</v>
      </c>
      <c r="H4" s="1">
        <v>361749</v>
      </c>
      <c r="I4" s="1">
        <v>12830806</v>
      </c>
      <c r="J4" s="64">
        <f>IFERROR((I4/H4),0)</f>
        <v>35.468808483230085</v>
      </c>
      <c r="K4" s="90">
        <f>I4-F4</f>
        <v>4412166</v>
      </c>
      <c r="L4" s="90">
        <f>(H4-E4)/1000</f>
        <v>18.189</v>
      </c>
      <c r="M4" s="55" t="s">
        <v>842</v>
      </c>
      <c r="O4" s="19">
        <f>K4/F4</f>
        <v>0.52409486567901709</v>
      </c>
      <c r="P4" s="19">
        <f>L4/(E4/1000)</f>
        <v>5.2942717429269995E-2</v>
      </c>
      <c r="R4" s="20" t="s">
        <v>1600</v>
      </c>
      <c r="T4">
        <v>0</v>
      </c>
      <c r="U4">
        <v>0</v>
      </c>
      <c r="V4" s="18">
        <f>IFERROR((U4/T4),0)</f>
        <v>0</v>
      </c>
      <c r="W4" s="4">
        <f>F4-U4</f>
        <v>8418640</v>
      </c>
      <c r="X4" s="19">
        <f>W4/F4</f>
        <v>1</v>
      </c>
      <c r="Y4" s="37"/>
    </row>
    <row r="5" spans="1:25" x14ac:dyDescent="0.35">
      <c r="A5" t="s">
        <v>699</v>
      </c>
      <c r="B5" s="66" t="s">
        <v>1061</v>
      </c>
      <c r="C5" s="67" t="s">
        <v>545</v>
      </c>
      <c r="D5" s="68" t="s">
        <v>2</v>
      </c>
      <c r="E5" s="60">
        <v>232941</v>
      </c>
      <c r="F5" s="60">
        <v>2143724</v>
      </c>
      <c r="G5" s="34">
        <f>IFERROR((F5/E5),0)</f>
        <v>9.2028625274211073</v>
      </c>
      <c r="H5" s="1">
        <v>571090</v>
      </c>
      <c r="I5" s="1">
        <v>5441432</v>
      </c>
      <c r="J5" s="64">
        <f>IFERROR((I5/H5),0)</f>
        <v>9.5281514297221097</v>
      </c>
      <c r="K5" s="90">
        <f>I5-F5</f>
        <v>3297708</v>
      </c>
      <c r="L5" s="90">
        <f>(H5-E5)/1000</f>
        <v>338.149</v>
      </c>
      <c r="M5" s="55" t="s">
        <v>842</v>
      </c>
      <c r="O5" s="19">
        <f>K5/F5</f>
        <v>1.5383081030953611</v>
      </c>
      <c r="P5" s="19">
        <f>L5/(E5/1000)</f>
        <v>1.4516508472102378</v>
      </c>
      <c r="R5" s="20" t="s">
        <v>1285</v>
      </c>
      <c r="W5" s="61"/>
      <c r="Y5" s="55"/>
    </row>
    <row r="6" spans="1:25" x14ac:dyDescent="0.35">
      <c r="A6" t="s">
        <v>1392</v>
      </c>
      <c r="B6" s="66" t="s">
        <v>813</v>
      </c>
      <c r="C6" s="67" t="s">
        <v>401</v>
      </c>
      <c r="D6" s="68" t="s">
        <v>13</v>
      </c>
      <c r="E6" s="59">
        <v>421570</v>
      </c>
      <c r="F6" s="60">
        <v>3558786</v>
      </c>
      <c r="G6" s="34">
        <f>IFERROR((F6/E6),0)</f>
        <v>8.4417439571126973</v>
      </c>
      <c r="H6" s="1">
        <v>785133</v>
      </c>
      <c r="I6" s="1">
        <v>5943354</v>
      </c>
      <c r="J6" s="64">
        <f>IFERROR((I6/H6),0)</f>
        <v>7.5698690540328837</v>
      </c>
      <c r="K6" s="90">
        <f>I6-F6</f>
        <v>2384568</v>
      </c>
      <c r="L6" s="90">
        <f>(H6-E6)/1000</f>
        <v>363.56299999999999</v>
      </c>
      <c r="M6" s="55" t="s">
        <v>842</v>
      </c>
      <c r="O6" s="19">
        <f>K6/F6</f>
        <v>0.67005096681845999</v>
      </c>
      <c r="P6" s="19">
        <f>L6/(E6/1000)</f>
        <v>0.86240244799202981</v>
      </c>
      <c r="R6" s="20" t="s">
        <v>1599</v>
      </c>
      <c r="T6">
        <v>0</v>
      </c>
      <c r="U6">
        <v>0</v>
      </c>
      <c r="V6" s="18">
        <f t="shared" ref="V6:V13" si="0">IFERROR((U6/T6),0)</f>
        <v>0</v>
      </c>
      <c r="W6" s="4">
        <f t="shared" ref="W6:W13" si="1">F6-U6</f>
        <v>3558786</v>
      </c>
      <c r="X6" s="19">
        <f t="shared" ref="X6:X13" si="2">W6/F6</f>
        <v>1</v>
      </c>
      <c r="Y6" s="37"/>
    </row>
    <row r="7" spans="1:25" x14ac:dyDescent="0.35">
      <c r="A7" t="s">
        <v>520</v>
      </c>
      <c r="B7" s="66" t="s">
        <v>811</v>
      </c>
      <c r="C7" s="67" t="s">
        <v>989</v>
      </c>
      <c r="D7" s="68" t="s">
        <v>6</v>
      </c>
      <c r="E7" s="60">
        <v>209217</v>
      </c>
      <c r="F7" s="60">
        <v>2038340</v>
      </c>
      <c r="G7" s="34">
        <f>IFERROR((F7/E7),0)</f>
        <v>9.7427073325781368</v>
      </c>
      <c r="H7" s="1">
        <v>404357</v>
      </c>
      <c r="I7" s="1">
        <v>3529964</v>
      </c>
      <c r="J7" s="64">
        <f>IFERROR((I7/H7),0)</f>
        <v>8.7298204309558134</v>
      </c>
      <c r="K7" s="90">
        <f>I7-F7</f>
        <v>1491624</v>
      </c>
      <c r="L7" s="90">
        <f>(H7-E7)/1000</f>
        <v>195.14</v>
      </c>
      <c r="M7" s="55" t="s">
        <v>842</v>
      </c>
      <c r="O7" s="19">
        <f>K7/F7</f>
        <v>0.73178370634928425</v>
      </c>
      <c r="P7" s="19">
        <f>L7/(E7/1000)</f>
        <v>0.93271579269371019</v>
      </c>
      <c r="R7" s="20" t="s">
        <v>1286</v>
      </c>
      <c r="T7">
        <v>0</v>
      </c>
      <c r="U7">
        <v>0</v>
      </c>
      <c r="V7" s="18">
        <f t="shared" si="0"/>
        <v>0</v>
      </c>
      <c r="W7" s="4">
        <f t="shared" si="1"/>
        <v>2038340</v>
      </c>
      <c r="X7" s="19">
        <f t="shared" si="2"/>
        <v>1</v>
      </c>
      <c r="Y7" s="37"/>
    </row>
    <row r="8" spans="1:25" x14ac:dyDescent="0.35">
      <c r="A8" t="s">
        <v>863</v>
      </c>
      <c r="B8" s="66" t="s">
        <v>1061</v>
      </c>
      <c r="C8" s="67" t="s">
        <v>1056</v>
      </c>
      <c r="D8" s="68" t="s">
        <v>208</v>
      </c>
      <c r="E8" s="60">
        <v>0</v>
      </c>
      <c r="F8" s="60">
        <v>0</v>
      </c>
      <c r="G8" s="34">
        <f>IFERROR((F8/E8),0)</f>
        <v>0</v>
      </c>
      <c r="H8" s="1">
        <v>190276</v>
      </c>
      <c r="I8" s="1">
        <v>1429574</v>
      </c>
      <c r="J8" s="64">
        <f>IFERROR((I8/H8),0)</f>
        <v>7.5131598309823628</v>
      </c>
      <c r="K8" s="90">
        <f>I8-F8</f>
        <v>1429574</v>
      </c>
      <c r="L8" s="90">
        <f>(H8-E8)/1000</f>
        <v>190.27600000000001</v>
      </c>
      <c r="M8" s="55" t="s">
        <v>842</v>
      </c>
      <c r="O8" s="19" t="e">
        <f>K8/F8</f>
        <v>#DIV/0!</v>
      </c>
      <c r="P8" s="19" t="e">
        <f>L8/(E8/1000)</f>
        <v>#DIV/0!</v>
      </c>
      <c r="R8" s="20" t="s">
        <v>1280</v>
      </c>
      <c r="T8">
        <v>4237</v>
      </c>
      <c r="U8">
        <v>64571</v>
      </c>
      <c r="V8" s="18">
        <f t="shared" si="0"/>
        <v>15.239792305876799</v>
      </c>
      <c r="W8" s="4">
        <f t="shared" si="1"/>
        <v>-64571</v>
      </c>
      <c r="X8" s="19" t="e">
        <f t="shared" si="2"/>
        <v>#DIV/0!</v>
      </c>
      <c r="Y8" s="37"/>
    </row>
    <row r="9" spans="1:25" x14ac:dyDescent="0.35">
      <c r="A9" t="s">
        <v>689</v>
      </c>
      <c r="B9" s="66" t="s">
        <v>1061</v>
      </c>
      <c r="C9" s="67" t="s">
        <v>1148</v>
      </c>
      <c r="D9" s="68" t="s">
        <v>108</v>
      </c>
      <c r="E9" s="60">
        <v>98329</v>
      </c>
      <c r="F9" s="60">
        <v>685978.2</v>
      </c>
      <c r="G9" s="34">
        <f>IFERROR((F9/E9),0)</f>
        <v>6.9763569242034391</v>
      </c>
      <c r="H9" s="1">
        <v>250721</v>
      </c>
      <c r="I9" s="1">
        <v>1905884</v>
      </c>
      <c r="J9" s="64">
        <f>IFERROR((I9/H9),0)</f>
        <v>7.6016129482572259</v>
      </c>
      <c r="K9" s="90">
        <f>I9-F9</f>
        <v>1219905.8</v>
      </c>
      <c r="L9" s="90">
        <f>(H9-E9)/1000</f>
        <v>152.392</v>
      </c>
      <c r="M9" s="55" t="s">
        <v>842</v>
      </c>
      <c r="O9" s="19">
        <f>K9/F9</f>
        <v>1.7783448511920643</v>
      </c>
      <c r="P9" s="19">
        <f>L9/(E9/1000)</f>
        <v>1.5498174495825241</v>
      </c>
      <c r="R9" s="20" t="s">
        <v>1280</v>
      </c>
      <c r="T9">
        <v>110</v>
      </c>
      <c r="U9">
        <v>1400</v>
      </c>
      <c r="V9" s="18">
        <f t="shared" si="0"/>
        <v>12.727272727272727</v>
      </c>
      <c r="W9" s="4">
        <f t="shared" si="1"/>
        <v>684578.2</v>
      </c>
      <c r="X9" s="19">
        <f t="shared" si="2"/>
        <v>0.99795911881747845</v>
      </c>
      <c r="Y9" s="37"/>
    </row>
    <row r="10" spans="1:25" x14ac:dyDescent="0.35">
      <c r="A10" t="s">
        <v>394</v>
      </c>
      <c r="B10" s="66" t="s">
        <v>1595</v>
      </c>
      <c r="C10" s="67" t="s">
        <v>1508</v>
      </c>
      <c r="D10" s="68" t="s">
        <v>1560</v>
      </c>
      <c r="E10" s="60">
        <v>3601</v>
      </c>
      <c r="F10" s="60">
        <v>46288.03</v>
      </c>
      <c r="G10" s="34">
        <f>IFERROR((F10/E10),0)</f>
        <v>12.854215495695639</v>
      </c>
      <c r="H10" s="1">
        <v>128252</v>
      </c>
      <c r="I10" s="1">
        <v>1180349</v>
      </c>
      <c r="J10" s="64">
        <f>IFERROR((I10/H10),0)</f>
        <v>9.2033574525153607</v>
      </c>
      <c r="K10" s="90">
        <f>I10-F10</f>
        <v>1134060.97</v>
      </c>
      <c r="L10" s="90">
        <f>(H10-E10)/1000</f>
        <v>124.651</v>
      </c>
      <c r="M10" s="55" t="s">
        <v>842</v>
      </c>
      <c r="O10" s="19">
        <f>K10/F10</f>
        <v>24.500091492336139</v>
      </c>
      <c r="P10" s="19">
        <f>L10/(E10/1000)</f>
        <v>34.615662316023325</v>
      </c>
      <c r="R10" s="20" t="s">
        <v>1062</v>
      </c>
      <c r="T10">
        <v>0</v>
      </c>
      <c r="U10">
        <v>0</v>
      </c>
      <c r="V10" s="18">
        <f t="shared" si="0"/>
        <v>0</v>
      </c>
      <c r="W10" s="4">
        <f t="shared" si="1"/>
        <v>46288.03</v>
      </c>
      <c r="X10" s="19">
        <f t="shared" si="2"/>
        <v>1</v>
      </c>
      <c r="Y10" s="37"/>
    </row>
    <row r="11" spans="1:25" x14ac:dyDescent="0.35">
      <c r="A11" t="s">
        <v>1397</v>
      </c>
      <c r="B11" s="66" t="s">
        <v>1721</v>
      </c>
      <c r="C11" s="67" t="s">
        <v>1612</v>
      </c>
      <c r="D11" s="68" t="s">
        <v>1613</v>
      </c>
      <c r="E11" s="59">
        <v>0</v>
      </c>
      <c r="F11" s="59">
        <v>0</v>
      </c>
      <c r="G11" s="34">
        <f>IFERROR((F11/E11),0)</f>
        <v>0</v>
      </c>
      <c r="H11" s="1">
        <v>99810</v>
      </c>
      <c r="I11" s="1">
        <v>1089887</v>
      </c>
      <c r="J11" s="64">
        <f>IFERROR((I11/H11),0)</f>
        <v>10.919617272818355</v>
      </c>
      <c r="K11" s="90">
        <f>I11-F11</f>
        <v>1089887</v>
      </c>
      <c r="L11" s="90">
        <f>(H11-E11)/1000</f>
        <v>99.81</v>
      </c>
      <c r="M11" s="55" t="s">
        <v>1061</v>
      </c>
      <c r="O11" s="19" t="e">
        <f>K11/F11</f>
        <v>#DIV/0!</v>
      </c>
      <c r="P11" s="19" t="e">
        <f>L11/(E11/1000)</f>
        <v>#DIV/0!</v>
      </c>
      <c r="R11" s="20" t="s">
        <v>1312</v>
      </c>
      <c r="T11">
        <v>1134</v>
      </c>
      <c r="U11">
        <v>8604</v>
      </c>
      <c r="V11" s="18">
        <f t="shared" si="0"/>
        <v>7.587301587301587</v>
      </c>
      <c r="W11" s="4">
        <f t="shared" si="1"/>
        <v>-8604</v>
      </c>
      <c r="X11" s="19" t="e">
        <f t="shared" si="2"/>
        <v>#DIV/0!</v>
      </c>
      <c r="Y11" s="37"/>
    </row>
    <row r="12" spans="1:25" x14ac:dyDescent="0.35">
      <c r="A12" t="s">
        <v>451</v>
      </c>
      <c r="B12" s="66" t="s">
        <v>1061</v>
      </c>
      <c r="C12" s="67" t="s">
        <v>397</v>
      </c>
      <c r="D12" s="68" t="s">
        <v>174</v>
      </c>
      <c r="E12" s="59">
        <v>16160</v>
      </c>
      <c r="F12" s="60">
        <v>309341.90000000002</v>
      </c>
      <c r="G12" s="34">
        <f>IFERROR((F12/E12),0)</f>
        <v>19.142444306930695</v>
      </c>
      <c r="H12" s="1">
        <v>82205</v>
      </c>
      <c r="I12" s="1">
        <v>1270466</v>
      </c>
      <c r="J12" s="64">
        <f>IFERROR((I12/H12),0)</f>
        <v>15.454850678182593</v>
      </c>
      <c r="K12" s="90">
        <f>I12-F12</f>
        <v>961124.1</v>
      </c>
      <c r="L12" s="90">
        <f>(H12-E12)/1000</f>
        <v>66.045000000000002</v>
      </c>
      <c r="M12" s="55" t="s">
        <v>842</v>
      </c>
      <c r="O12" s="19">
        <f>K12/F12</f>
        <v>3.1069961747826591</v>
      </c>
      <c r="P12" s="19">
        <f>L12/(E12/1000)</f>
        <v>4.0869430693069306</v>
      </c>
      <c r="R12" s="20" t="s">
        <v>1286</v>
      </c>
      <c r="T12">
        <v>0</v>
      </c>
      <c r="U12">
        <v>0</v>
      </c>
      <c r="V12" s="18">
        <f t="shared" si="0"/>
        <v>0</v>
      </c>
      <c r="W12" s="4">
        <f t="shared" si="1"/>
        <v>309341.90000000002</v>
      </c>
      <c r="X12" s="19">
        <f t="shared" si="2"/>
        <v>1</v>
      </c>
      <c r="Y12" s="37"/>
    </row>
    <row r="13" spans="1:25" x14ac:dyDescent="0.35">
      <c r="A13" t="s">
        <v>645</v>
      </c>
      <c r="B13" s="66" t="s">
        <v>832</v>
      </c>
      <c r="C13" s="67" t="s">
        <v>1008</v>
      </c>
      <c r="D13" s="68" t="s">
        <v>1228</v>
      </c>
      <c r="E13" s="60">
        <v>14616</v>
      </c>
      <c r="F13" s="60">
        <v>239584.9</v>
      </c>
      <c r="G13" s="34">
        <f>IFERROR((F13/E13),0)</f>
        <v>16.391960864805693</v>
      </c>
      <c r="H13" s="1">
        <v>74641</v>
      </c>
      <c r="I13" s="1">
        <v>1034801</v>
      </c>
      <c r="J13" s="64">
        <f>IFERROR((I13/H13),0)</f>
        <v>13.863707613777951</v>
      </c>
      <c r="K13" s="90">
        <f>I13-F13</f>
        <v>795216.1</v>
      </c>
      <c r="L13" s="90">
        <f>(H13-E13)/1000</f>
        <v>60.024999999999999</v>
      </c>
      <c r="M13" s="55" t="s">
        <v>842</v>
      </c>
      <c r="O13" s="19">
        <f>K13/F13</f>
        <v>3.3191411478770156</v>
      </c>
      <c r="P13" s="19">
        <f>L13/(E13/1000)</f>
        <v>4.1068007662835253</v>
      </c>
      <c r="R13" s="20" t="s">
        <v>1281</v>
      </c>
      <c r="T13">
        <v>7836</v>
      </c>
      <c r="U13">
        <v>134797</v>
      </c>
      <c r="V13" s="18">
        <f t="shared" si="0"/>
        <v>17.202271567126086</v>
      </c>
      <c r="W13" s="4">
        <f t="shared" si="1"/>
        <v>104787.9</v>
      </c>
      <c r="X13" s="19">
        <f t="shared" si="2"/>
        <v>0.43737272257141413</v>
      </c>
      <c r="Y13" s="37"/>
    </row>
    <row r="14" spans="1:25" x14ac:dyDescent="0.35">
      <c r="A14" t="s">
        <v>746</v>
      </c>
      <c r="B14" s="66" t="s">
        <v>1721</v>
      </c>
      <c r="C14" s="67" t="s">
        <v>629</v>
      </c>
      <c r="D14" s="68" t="s">
        <v>260</v>
      </c>
      <c r="E14" s="59">
        <v>0</v>
      </c>
      <c r="F14" s="59">
        <v>0</v>
      </c>
      <c r="G14" s="34">
        <f>IFERROR((F14/E14),0)</f>
        <v>0</v>
      </c>
      <c r="H14" s="1">
        <v>100286</v>
      </c>
      <c r="I14" s="1">
        <v>733820</v>
      </c>
      <c r="J14" s="64">
        <f>IFERROR((I14/H14),0)</f>
        <v>7.317272600362962</v>
      </c>
      <c r="K14" s="90">
        <f>I14-F14</f>
        <v>733820</v>
      </c>
      <c r="L14" s="90">
        <f>(H14-E14)/1000</f>
        <v>100.286</v>
      </c>
      <c r="M14" s="55" t="s">
        <v>1061</v>
      </c>
      <c r="O14" s="19" t="e">
        <f>K14/F14</f>
        <v>#DIV/0!</v>
      </c>
      <c r="P14" s="19" t="e">
        <f>L14/(E14/1000)</f>
        <v>#DIV/0!</v>
      </c>
      <c r="R14" s="20" t="s">
        <v>1289</v>
      </c>
      <c r="W14" s="61"/>
      <c r="Y14" s="55"/>
    </row>
    <row r="15" spans="1:25" x14ac:dyDescent="0.35">
      <c r="A15" t="s">
        <v>1489</v>
      </c>
      <c r="B15" s="66" t="s">
        <v>1721</v>
      </c>
      <c r="C15" s="67" t="s">
        <v>1614</v>
      </c>
      <c r="D15" s="68" t="s">
        <v>1615</v>
      </c>
      <c r="E15" s="59">
        <v>0</v>
      </c>
      <c r="F15" s="59">
        <v>0</v>
      </c>
      <c r="G15" s="34">
        <f>IFERROR((F15/E15),0)</f>
        <v>0</v>
      </c>
      <c r="H15" s="1">
        <v>59331</v>
      </c>
      <c r="I15" s="1">
        <v>661879</v>
      </c>
      <c r="J15" s="64">
        <f>IFERROR((I15/H15),0)</f>
        <v>11.155702752355429</v>
      </c>
      <c r="K15" s="90">
        <f>I15-F15</f>
        <v>661879</v>
      </c>
      <c r="L15" s="90">
        <f>(H15-E15)/1000</f>
        <v>59.331000000000003</v>
      </c>
      <c r="M15" s="55" t="s">
        <v>1061</v>
      </c>
      <c r="O15" s="19" t="e">
        <f>K15/F15</f>
        <v>#DIV/0!</v>
      </c>
      <c r="P15" s="19" t="e">
        <f>L15/(E15/1000)</f>
        <v>#DIV/0!</v>
      </c>
      <c r="R15" s="20" t="s">
        <v>1301</v>
      </c>
      <c r="W15" s="61"/>
      <c r="Y15" s="55"/>
    </row>
    <row r="16" spans="1:25" x14ac:dyDescent="0.35">
      <c r="A16" t="s">
        <v>1003</v>
      </c>
      <c r="B16" s="66" t="s">
        <v>1595</v>
      </c>
      <c r="C16" s="67" t="s">
        <v>1536</v>
      </c>
      <c r="D16" s="68" t="s">
        <v>1588</v>
      </c>
      <c r="E16" s="60">
        <v>7745</v>
      </c>
      <c r="F16" s="60">
        <v>66451.09</v>
      </c>
      <c r="G16" s="34">
        <f>IFERROR((F16/E16),0)</f>
        <v>8.5798695932859896</v>
      </c>
      <c r="H16" s="1">
        <v>75506</v>
      </c>
      <c r="I16" s="1">
        <v>724199</v>
      </c>
      <c r="J16" s="64">
        <f>IFERROR((I16/H16),0)</f>
        <v>9.5912775143697182</v>
      </c>
      <c r="K16" s="90">
        <f>I16-F16</f>
        <v>657747.91</v>
      </c>
      <c r="L16" s="90">
        <f>(H16-E16)/1000</f>
        <v>67.760999999999996</v>
      </c>
      <c r="M16" s="55" t="s">
        <v>842</v>
      </c>
      <c r="O16" s="19">
        <f>K16/F16</f>
        <v>9.8982260486622575</v>
      </c>
      <c r="P16" s="19">
        <f>L16/(E16/1000)</f>
        <v>8.7489993544222067</v>
      </c>
      <c r="R16" s="20" t="s">
        <v>1302</v>
      </c>
      <c r="T16">
        <v>15883</v>
      </c>
      <c r="U16">
        <v>241496</v>
      </c>
      <c r="V16" s="18">
        <f t="shared" ref="V16:V28" si="3">IFERROR((U16/T16),0)</f>
        <v>15.204684253604484</v>
      </c>
      <c r="W16" s="4">
        <f t="shared" ref="W16:W28" si="4">F16-U16</f>
        <v>-175044.91</v>
      </c>
      <c r="X16" s="19">
        <f t="shared" ref="X16:X28" si="5">W16/F16</f>
        <v>-2.6341917040036518</v>
      </c>
      <c r="Y16" s="37"/>
    </row>
    <row r="17" spans="1:25" x14ac:dyDescent="0.35">
      <c r="A17" t="s">
        <v>455</v>
      </c>
      <c r="B17" s="66" t="s">
        <v>1061</v>
      </c>
      <c r="C17" s="67" t="s">
        <v>479</v>
      </c>
      <c r="D17" s="68" t="s">
        <v>24</v>
      </c>
      <c r="E17" s="60">
        <v>5908</v>
      </c>
      <c r="F17" s="60">
        <v>111713.7</v>
      </c>
      <c r="G17" s="34">
        <f>IFERROR((F17/E17),0)</f>
        <v>18.90888625592417</v>
      </c>
      <c r="H17" s="1">
        <v>39701</v>
      </c>
      <c r="I17" s="1">
        <v>736967</v>
      </c>
      <c r="J17" s="64">
        <f>IFERROR((I17/H17),0)</f>
        <v>18.562932923603938</v>
      </c>
      <c r="K17" s="90">
        <f>I17-F17</f>
        <v>625253.30000000005</v>
      </c>
      <c r="L17" s="90">
        <f>(H17-E17)/1000</f>
        <v>33.792999999999999</v>
      </c>
      <c r="M17" s="55" t="s">
        <v>842</v>
      </c>
      <c r="O17" s="19">
        <f>K17/F17</f>
        <v>5.5969258918109421</v>
      </c>
      <c r="P17" s="19">
        <f>L17/(E17/1000)</f>
        <v>5.7198713608666214</v>
      </c>
      <c r="R17" s="20" t="s">
        <v>1601</v>
      </c>
      <c r="T17">
        <v>0</v>
      </c>
      <c r="U17">
        <v>0</v>
      </c>
      <c r="V17" s="18">
        <f t="shared" si="3"/>
        <v>0</v>
      </c>
      <c r="W17" s="4">
        <f t="shared" si="4"/>
        <v>111713.7</v>
      </c>
      <c r="X17" s="19">
        <f t="shared" si="5"/>
        <v>1</v>
      </c>
      <c r="Y17" s="37"/>
    </row>
    <row r="18" spans="1:25" x14ac:dyDescent="0.35">
      <c r="A18" t="s">
        <v>865</v>
      </c>
      <c r="B18" s="66" t="s">
        <v>822</v>
      </c>
      <c r="C18" s="67" t="s">
        <v>672</v>
      </c>
      <c r="D18" s="68" t="s">
        <v>370</v>
      </c>
      <c r="E18" s="59">
        <v>0</v>
      </c>
      <c r="F18" s="59">
        <v>0</v>
      </c>
      <c r="G18" s="34">
        <f>IFERROR((F18/E18),0)</f>
        <v>0</v>
      </c>
      <c r="H18" s="1">
        <v>101449</v>
      </c>
      <c r="I18" s="1">
        <v>584941</v>
      </c>
      <c r="J18" s="64">
        <f>IFERROR((I18/H18),0)</f>
        <v>5.7658626501986223</v>
      </c>
      <c r="K18" s="90">
        <f>I18-F18</f>
        <v>584941</v>
      </c>
      <c r="L18" s="90">
        <f>(H18-E18)/1000</f>
        <v>101.449</v>
      </c>
      <c r="M18" s="55" t="s">
        <v>842</v>
      </c>
      <c r="O18" s="19" t="e">
        <f>K18/F18</f>
        <v>#DIV/0!</v>
      </c>
      <c r="P18" s="19" t="e">
        <f>L18/(E18/1000)</f>
        <v>#DIV/0!</v>
      </c>
      <c r="R18" s="20" t="s">
        <v>1281</v>
      </c>
      <c r="T18">
        <v>0</v>
      </c>
      <c r="U18">
        <v>0</v>
      </c>
      <c r="V18" s="18">
        <f t="shared" si="3"/>
        <v>0</v>
      </c>
      <c r="W18" s="4">
        <f t="shared" si="4"/>
        <v>0</v>
      </c>
      <c r="X18" s="19" t="e">
        <f t="shared" si="5"/>
        <v>#DIV/0!</v>
      </c>
      <c r="Y18" s="37"/>
    </row>
    <row r="19" spans="1:25" x14ac:dyDescent="0.35">
      <c r="A19" t="s">
        <v>667</v>
      </c>
      <c r="B19" s="66" t="s">
        <v>1721</v>
      </c>
      <c r="C19" s="67" t="s">
        <v>1616</v>
      </c>
      <c r="D19" s="68" t="s">
        <v>1617</v>
      </c>
      <c r="E19" s="59">
        <v>0</v>
      </c>
      <c r="F19" s="59">
        <v>0</v>
      </c>
      <c r="G19" s="34">
        <f>IFERROR((F19/E19),0)</f>
        <v>0</v>
      </c>
      <c r="H19" s="1">
        <v>32762</v>
      </c>
      <c r="I19" s="1">
        <v>553953</v>
      </c>
      <c r="J19" s="64">
        <f>IFERROR((I19/H19),0)</f>
        <v>16.908399975581467</v>
      </c>
      <c r="K19" s="90">
        <f>I19-F19</f>
        <v>553953</v>
      </c>
      <c r="L19" s="90">
        <f>(H19-E19)/1000</f>
        <v>32.762</v>
      </c>
      <c r="M19" s="55" t="s">
        <v>1061</v>
      </c>
      <c r="O19" s="19" t="e">
        <f>K19/F19</f>
        <v>#DIV/0!</v>
      </c>
      <c r="P19" s="19" t="e">
        <f>L19/(E19/1000)</f>
        <v>#DIV/0!</v>
      </c>
      <c r="R19" s="20" t="s">
        <v>1300</v>
      </c>
      <c r="T19">
        <v>370</v>
      </c>
      <c r="U19">
        <v>14139</v>
      </c>
      <c r="V19" s="18">
        <f t="shared" si="3"/>
        <v>38.213513513513512</v>
      </c>
      <c r="W19" s="4">
        <f t="shared" si="4"/>
        <v>-14139</v>
      </c>
      <c r="X19" s="19" t="e">
        <f t="shared" si="5"/>
        <v>#DIV/0!</v>
      </c>
      <c r="Y19" s="37"/>
    </row>
    <row r="20" spans="1:25" x14ac:dyDescent="0.35">
      <c r="A20" t="s">
        <v>614</v>
      </c>
      <c r="B20" s="66" t="s">
        <v>822</v>
      </c>
      <c r="C20" s="67" t="s">
        <v>652</v>
      </c>
      <c r="D20" s="68" t="s">
        <v>35</v>
      </c>
      <c r="E20" s="60">
        <v>2787</v>
      </c>
      <c r="F20" s="60">
        <v>67335</v>
      </c>
      <c r="G20" s="34">
        <f>IFERROR((F20/E20),0)</f>
        <v>24.16038751345533</v>
      </c>
      <c r="H20" s="1">
        <v>98230</v>
      </c>
      <c r="I20" s="1">
        <v>595525</v>
      </c>
      <c r="J20" s="64">
        <f>IFERROR((I20/H20),0)</f>
        <v>6.0625572635651022</v>
      </c>
      <c r="K20" s="90">
        <f>I20-F20</f>
        <v>528190</v>
      </c>
      <c r="L20" s="90">
        <f>(H20-E20)/1000</f>
        <v>95.442999999999998</v>
      </c>
      <c r="M20" s="55" t="s">
        <v>842</v>
      </c>
      <c r="O20" s="19">
        <f>K20/F20</f>
        <v>7.8442117769362145</v>
      </c>
      <c r="P20" s="19">
        <f>L20/(E20/1000)</f>
        <v>34.245783997129529</v>
      </c>
      <c r="R20" s="20" t="s">
        <v>1285</v>
      </c>
      <c r="T20">
        <v>20840</v>
      </c>
      <c r="U20">
        <v>230090</v>
      </c>
      <c r="V20" s="18">
        <f t="shared" si="3"/>
        <v>11.040786948176583</v>
      </c>
      <c r="W20" s="4">
        <f t="shared" si="4"/>
        <v>-162755</v>
      </c>
      <c r="X20" s="19">
        <f t="shared" si="5"/>
        <v>-2.4170936362961313</v>
      </c>
      <c r="Y20" s="37"/>
    </row>
    <row r="21" spans="1:25" x14ac:dyDescent="0.35">
      <c r="A21" t="s">
        <v>712</v>
      </c>
      <c r="B21" s="66" t="s">
        <v>1595</v>
      </c>
      <c r="C21" s="67" t="s">
        <v>1539</v>
      </c>
      <c r="D21" s="68" t="s">
        <v>1591</v>
      </c>
      <c r="E21" s="60">
        <v>52179</v>
      </c>
      <c r="F21" s="60">
        <v>425263</v>
      </c>
      <c r="G21" s="34">
        <f>IFERROR((F21/E21),0)</f>
        <v>8.1500795339121108</v>
      </c>
      <c r="H21" s="1">
        <v>118964</v>
      </c>
      <c r="I21" s="1">
        <v>935853</v>
      </c>
      <c r="J21" s="64">
        <f>IFERROR((I21/H21),0)</f>
        <v>7.8666907635923469</v>
      </c>
      <c r="K21" s="90">
        <f>I21-F21</f>
        <v>510590</v>
      </c>
      <c r="L21" s="90">
        <f>(H21-E21)/1000</f>
        <v>66.784999999999997</v>
      </c>
      <c r="M21" s="55" t="s">
        <v>842</v>
      </c>
      <c r="O21" s="19">
        <f>K21/F21</f>
        <v>1.2006452477643246</v>
      </c>
      <c r="P21" s="19">
        <f>L21/(E21/1000)</f>
        <v>1.2799210410318327</v>
      </c>
      <c r="R21" s="20" t="s">
        <v>1315</v>
      </c>
      <c r="T21">
        <v>0</v>
      </c>
      <c r="U21">
        <v>1416</v>
      </c>
      <c r="V21" s="18">
        <f t="shared" si="3"/>
        <v>0</v>
      </c>
      <c r="W21" s="4">
        <f t="shared" si="4"/>
        <v>423847</v>
      </c>
      <c r="X21" s="19">
        <f t="shared" si="5"/>
        <v>0.9966702957934267</v>
      </c>
      <c r="Y21" s="37"/>
    </row>
    <row r="22" spans="1:25" x14ac:dyDescent="0.35">
      <c r="A22" t="s">
        <v>1401</v>
      </c>
      <c r="B22" s="66" t="s">
        <v>837</v>
      </c>
      <c r="C22" s="67" t="s">
        <v>739</v>
      </c>
      <c r="D22" s="68" t="s">
        <v>339</v>
      </c>
      <c r="E22" s="60">
        <v>104435</v>
      </c>
      <c r="F22" s="60">
        <v>1235627</v>
      </c>
      <c r="G22" s="34">
        <f>IFERROR((F22/E22),0)</f>
        <v>11.831541149997607</v>
      </c>
      <c r="H22" s="1">
        <v>140818</v>
      </c>
      <c r="I22" s="1">
        <v>1733732</v>
      </c>
      <c r="J22" s="64">
        <f>IFERROR((I22/H22),0)</f>
        <v>12.311863540172421</v>
      </c>
      <c r="K22" s="90">
        <f>I22-F22</f>
        <v>498105</v>
      </c>
      <c r="L22" s="90">
        <f>(H22-E22)/1000</f>
        <v>36.383000000000003</v>
      </c>
      <c r="M22" s="55" t="s">
        <v>842</v>
      </c>
      <c r="O22" s="19">
        <f>K22/F22</f>
        <v>0.40311922610949746</v>
      </c>
      <c r="P22" s="19">
        <f>L22/(E22/1000)</f>
        <v>0.34837937473069375</v>
      </c>
      <c r="R22" s="20" t="s">
        <v>1601</v>
      </c>
      <c r="T22">
        <v>3000</v>
      </c>
      <c r="U22">
        <v>44332</v>
      </c>
      <c r="V22" s="18">
        <f t="shared" si="3"/>
        <v>14.777333333333333</v>
      </c>
      <c r="W22" s="4">
        <f t="shared" si="4"/>
        <v>1191295</v>
      </c>
      <c r="X22" s="19">
        <f t="shared" si="5"/>
        <v>0.96412185878100753</v>
      </c>
      <c r="Y22" s="37" t="s">
        <v>1066</v>
      </c>
    </row>
    <row r="23" spans="1:25" x14ac:dyDescent="0.35">
      <c r="A23" t="s">
        <v>695</v>
      </c>
      <c r="B23" s="66" t="s">
        <v>1721</v>
      </c>
      <c r="C23" s="67" t="s">
        <v>1723</v>
      </c>
      <c r="D23" s="68" t="s">
        <v>1724</v>
      </c>
      <c r="E23" s="59">
        <v>0</v>
      </c>
      <c r="F23" s="59">
        <v>0</v>
      </c>
      <c r="G23" s="34">
        <f>IFERROR((F23/E23),0)</f>
        <v>0</v>
      </c>
      <c r="H23" s="1">
        <v>48784</v>
      </c>
      <c r="I23" s="1">
        <v>491395</v>
      </c>
      <c r="J23" s="64">
        <f>IFERROR((I23/H23),0)</f>
        <v>10.072872253197771</v>
      </c>
      <c r="K23" s="90">
        <f>I23-F23</f>
        <v>491395</v>
      </c>
      <c r="L23" s="90">
        <f>(H23-E23)/1000</f>
        <v>48.783999999999999</v>
      </c>
      <c r="M23" s="55" t="s">
        <v>1061</v>
      </c>
      <c r="O23" s="19" t="e">
        <f>K23/F23</f>
        <v>#DIV/0!</v>
      </c>
      <c r="P23" s="19" t="e">
        <f>L23/(E23/1000)</f>
        <v>#DIV/0!</v>
      </c>
      <c r="R23" s="20" t="s">
        <v>1297</v>
      </c>
      <c r="T23">
        <v>0</v>
      </c>
      <c r="U23">
        <v>0</v>
      </c>
      <c r="V23" s="18">
        <f t="shared" si="3"/>
        <v>0</v>
      </c>
      <c r="W23" s="4">
        <f t="shared" si="4"/>
        <v>0</v>
      </c>
      <c r="X23" s="19" t="e">
        <f t="shared" si="5"/>
        <v>#DIV/0!</v>
      </c>
      <c r="Y23" s="37"/>
    </row>
    <row r="24" spans="1:25" x14ac:dyDescent="0.35">
      <c r="A24" t="s">
        <v>1146</v>
      </c>
      <c r="B24" s="66" t="s">
        <v>810</v>
      </c>
      <c r="C24" s="67" t="s">
        <v>642</v>
      </c>
      <c r="D24" s="68" t="s">
        <v>1218</v>
      </c>
      <c r="E24" s="60">
        <v>298543</v>
      </c>
      <c r="F24" s="60">
        <v>4269549</v>
      </c>
      <c r="G24" s="34">
        <f>IFERROR((F24/E24),0)</f>
        <v>14.301286581832432</v>
      </c>
      <c r="H24" s="1">
        <v>373314</v>
      </c>
      <c r="I24" s="1">
        <v>4754392</v>
      </c>
      <c r="J24" s="64">
        <f>IFERROR((I24/H24),0)</f>
        <v>12.735638095544234</v>
      </c>
      <c r="K24" s="90">
        <f>I24-F24</f>
        <v>484843</v>
      </c>
      <c r="L24" s="90">
        <f>(H24-E24)/1000</f>
        <v>74.771000000000001</v>
      </c>
      <c r="M24" s="55" t="s">
        <v>842</v>
      </c>
      <c r="O24" s="19">
        <f>K24/F24</f>
        <v>0.1135583641269839</v>
      </c>
      <c r="P24" s="19">
        <f>L24/(E24/1000)</f>
        <v>0.2504530335663539</v>
      </c>
      <c r="R24" s="20" t="s">
        <v>1280</v>
      </c>
      <c r="T24">
        <v>3499</v>
      </c>
      <c r="U24">
        <v>114331</v>
      </c>
      <c r="V24" s="18">
        <f t="shared" si="3"/>
        <v>32.675335810231495</v>
      </c>
      <c r="W24" s="4">
        <f t="shared" si="4"/>
        <v>4155218</v>
      </c>
      <c r="X24" s="19">
        <f t="shared" si="5"/>
        <v>0.97322176183011366</v>
      </c>
      <c r="Y24" s="37"/>
    </row>
    <row r="25" spans="1:25" x14ac:dyDescent="0.35">
      <c r="A25" t="s">
        <v>716</v>
      </c>
      <c r="B25" s="66" t="s">
        <v>810</v>
      </c>
      <c r="C25" s="67" t="s">
        <v>1073</v>
      </c>
      <c r="D25" s="68" t="s">
        <v>103</v>
      </c>
      <c r="E25" s="60">
        <v>8295</v>
      </c>
      <c r="F25" s="60">
        <v>143708.4</v>
      </c>
      <c r="G25" s="34">
        <f>IFERROR((F25/E25),0)</f>
        <v>17.324701627486437</v>
      </c>
      <c r="H25" s="1">
        <v>36512</v>
      </c>
      <c r="I25" s="1">
        <v>594291</v>
      </c>
      <c r="J25" s="64">
        <f>IFERROR((I25/H25),0)</f>
        <v>16.276593996494302</v>
      </c>
      <c r="K25" s="90">
        <f>I25-F25</f>
        <v>450582.6</v>
      </c>
      <c r="L25" s="90">
        <f>(H25-E25)/1000</f>
        <v>28.216999999999999</v>
      </c>
      <c r="M25" s="55" t="s">
        <v>842</v>
      </c>
      <c r="O25" s="19">
        <f>K25/F25</f>
        <v>3.1353950082249891</v>
      </c>
      <c r="P25" s="19">
        <f>L25/(E25/1000)</f>
        <v>3.4016877637130802</v>
      </c>
      <c r="R25" s="20" t="s">
        <v>1601</v>
      </c>
      <c r="T25">
        <v>0</v>
      </c>
      <c r="U25">
        <v>0</v>
      </c>
      <c r="V25" s="18">
        <f t="shared" si="3"/>
        <v>0</v>
      </c>
      <c r="W25" s="4">
        <f t="shared" si="4"/>
        <v>143708.4</v>
      </c>
      <c r="X25" s="19">
        <f t="shared" si="5"/>
        <v>1</v>
      </c>
      <c r="Y25" s="37"/>
    </row>
    <row r="26" spans="1:25" x14ac:dyDescent="0.35">
      <c r="A26" t="s">
        <v>747</v>
      </c>
      <c r="B26" s="66" t="s">
        <v>1219</v>
      </c>
      <c r="C26" s="67" t="s">
        <v>1147</v>
      </c>
      <c r="D26" s="68" t="s">
        <v>1251</v>
      </c>
      <c r="E26" s="60">
        <v>214</v>
      </c>
      <c r="F26" s="60">
        <v>5592.2</v>
      </c>
      <c r="G26" s="34">
        <f>IFERROR((F26/E26),0)</f>
        <v>26.131775700934579</v>
      </c>
      <c r="H26" s="1">
        <v>42335</v>
      </c>
      <c r="I26" s="1">
        <v>440669</v>
      </c>
      <c r="J26" s="64">
        <f>IFERROR((I26/H26),0)</f>
        <v>10.409094130152356</v>
      </c>
      <c r="K26" s="90">
        <f>I26-F26</f>
        <v>435076.8</v>
      </c>
      <c r="L26" s="90">
        <f>(H26-E26)/1000</f>
        <v>42.121000000000002</v>
      </c>
      <c r="M26" s="55" t="s">
        <v>842</v>
      </c>
      <c r="O26" s="19">
        <f>K26/F26</f>
        <v>77.800650906619936</v>
      </c>
      <c r="P26" s="19">
        <f>L26/(E26/1000)</f>
        <v>196.82710280373834</v>
      </c>
      <c r="R26" s="20" t="s">
        <v>1283</v>
      </c>
      <c r="T26">
        <v>0</v>
      </c>
      <c r="U26">
        <v>0</v>
      </c>
      <c r="V26" s="18">
        <f t="shared" si="3"/>
        <v>0</v>
      </c>
      <c r="W26" s="4">
        <f t="shared" si="4"/>
        <v>5592.2</v>
      </c>
      <c r="X26" s="19">
        <f t="shared" si="5"/>
        <v>1</v>
      </c>
      <c r="Y26" s="37"/>
    </row>
    <row r="27" spans="1:25" x14ac:dyDescent="0.35">
      <c r="A27" t="s">
        <v>590</v>
      </c>
      <c r="B27" s="66" t="s">
        <v>828</v>
      </c>
      <c r="C27" s="67" t="s">
        <v>616</v>
      </c>
      <c r="D27" s="68" t="s">
        <v>74</v>
      </c>
      <c r="E27" s="60">
        <v>20451</v>
      </c>
      <c r="F27" s="60">
        <v>275460.59999999998</v>
      </c>
      <c r="G27" s="34">
        <f>IFERROR((F27/E27),0)</f>
        <v>13.469297344873111</v>
      </c>
      <c r="H27" s="1">
        <v>45655</v>
      </c>
      <c r="I27" s="1">
        <v>700051</v>
      </c>
      <c r="J27" s="64">
        <f>IFERROR((I27/H27),0)</f>
        <v>15.333501259445844</v>
      </c>
      <c r="K27" s="90">
        <f>I27-F27</f>
        <v>424590.4</v>
      </c>
      <c r="L27" s="90">
        <f>(H27-E27)/1000</f>
        <v>25.204000000000001</v>
      </c>
      <c r="M27" s="55" t="s">
        <v>842</v>
      </c>
      <c r="O27" s="19">
        <f>K27/F27</f>
        <v>1.5413834138167131</v>
      </c>
      <c r="P27" s="19">
        <f>L27/(E27/1000)</f>
        <v>1.2324091731455675</v>
      </c>
      <c r="R27" s="20" t="s">
        <v>1601</v>
      </c>
      <c r="T27">
        <v>0</v>
      </c>
      <c r="U27">
        <v>0</v>
      </c>
      <c r="V27" s="18">
        <f t="shared" si="3"/>
        <v>0</v>
      </c>
      <c r="W27" s="4">
        <f t="shared" si="4"/>
        <v>275460.59999999998</v>
      </c>
      <c r="X27" s="19">
        <f t="shared" si="5"/>
        <v>1</v>
      </c>
      <c r="Y27" s="37"/>
    </row>
    <row r="28" spans="1:25" x14ac:dyDescent="0.35">
      <c r="A28" t="s">
        <v>420</v>
      </c>
      <c r="B28" s="66" t="s">
        <v>1721</v>
      </c>
      <c r="C28" s="67" t="s">
        <v>1618</v>
      </c>
      <c r="D28" s="68" t="s">
        <v>1619</v>
      </c>
      <c r="E28" s="59">
        <v>0</v>
      </c>
      <c r="F28" s="59">
        <v>0</v>
      </c>
      <c r="G28" s="34">
        <f>IFERROR((F28/E28),0)</f>
        <v>0</v>
      </c>
      <c r="H28" s="1">
        <v>39114</v>
      </c>
      <c r="I28" s="1">
        <v>408365</v>
      </c>
      <c r="J28" s="64">
        <f>IFERROR((I28/H28),0)</f>
        <v>10.440379403794038</v>
      </c>
      <c r="K28" s="90">
        <f>I28-F28</f>
        <v>408365</v>
      </c>
      <c r="L28" s="90">
        <f>(H28-E28)/1000</f>
        <v>39.113999999999997</v>
      </c>
      <c r="M28" s="55" t="s">
        <v>1061</v>
      </c>
      <c r="O28" s="19" t="e">
        <f>K28/F28</f>
        <v>#DIV/0!</v>
      </c>
      <c r="P28" s="19" t="e">
        <f>L28/(E28/1000)</f>
        <v>#DIV/0!</v>
      </c>
      <c r="R28" s="20" t="s">
        <v>1293</v>
      </c>
      <c r="T28">
        <v>1874</v>
      </c>
      <c r="U28">
        <v>54572</v>
      </c>
      <c r="V28" s="18">
        <f t="shared" si="3"/>
        <v>29.120597652081109</v>
      </c>
      <c r="W28" s="4">
        <f t="shared" si="4"/>
        <v>-54572</v>
      </c>
      <c r="X28" s="19" t="e">
        <f t="shared" si="5"/>
        <v>#DIV/0!</v>
      </c>
      <c r="Y28" s="37"/>
    </row>
    <row r="29" spans="1:25" x14ac:dyDescent="0.35">
      <c r="A29" t="s">
        <v>410</v>
      </c>
      <c r="B29" s="66" t="s">
        <v>819</v>
      </c>
      <c r="C29" s="67" t="s">
        <v>1052</v>
      </c>
      <c r="D29" s="68" t="s">
        <v>1246</v>
      </c>
      <c r="E29" s="60">
        <v>85546</v>
      </c>
      <c r="F29" s="60">
        <v>1093123</v>
      </c>
      <c r="G29" s="34">
        <f>IFERROR((F29/E29),0)</f>
        <v>12.778189512075375</v>
      </c>
      <c r="H29" s="1">
        <v>47672</v>
      </c>
      <c r="I29" s="1">
        <v>1484018</v>
      </c>
      <c r="J29" s="64">
        <f>IFERROR((I29/H29),0)</f>
        <v>31.129761704984059</v>
      </c>
      <c r="K29" s="90">
        <f>I29-F29</f>
        <v>390895</v>
      </c>
      <c r="L29" s="90">
        <f>(H29-E29)/1000</f>
        <v>-37.874000000000002</v>
      </c>
      <c r="M29" s="55" t="s">
        <v>842</v>
      </c>
      <c r="O29" s="19">
        <f>K29/F29</f>
        <v>0.35759470800632681</v>
      </c>
      <c r="P29" s="19">
        <f>L29/(E29/1000)</f>
        <v>-0.44273256493582397</v>
      </c>
      <c r="R29" s="20" t="s">
        <v>1287</v>
      </c>
      <c r="W29" s="61"/>
      <c r="Y29" s="55"/>
    </row>
    <row r="30" spans="1:25" x14ac:dyDescent="0.35">
      <c r="A30" t="s">
        <v>1403</v>
      </c>
      <c r="B30" s="85" t="s">
        <v>1721</v>
      </c>
      <c r="C30" s="67" t="s">
        <v>511</v>
      </c>
      <c r="D30" s="68" t="s">
        <v>511</v>
      </c>
      <c r="E30" s="59">
        <v>0</v>
      </c>
      <c r="F30" s="59">
        <v>0</v>
      </c>
      <c r="G30" s="34">
        <f>IFERROR((F30/E30),0)</f>
        <v>0</v>
      </c>
      <c r="H30" s="1">
        <v>41808</v>
      </c>
      <c r="I30" s="1">
        <v>388294</v>
      </c>
      <c r="J30" s="64">
        <f>IFERROR((I30/H30),0)</f>
        <v>9.2875526215078459</v>
      </c>
      <c r="K30" s="90">
        <f>I30-F30</f>
        <v>388294</v>
      </c>
      <c r="L30" s="90">
        <f>(H30-E30)/1000</f>
        <v>41.808</v>
      </c>
      <c r="M30" s="55" t="s">
        <v>1061</v>
      </c>
      <c r="O30" s="19" t="e">
        <f>K30/F30</f>
        <v>#DIV/0!</v>
      </c>
      <c r="P30" s="19" t="e">
        <f>L30/(E30/1000)</f>
        <v>#DIV/0!</v>
      </c>
      <c r="R30" s="20" t="s">
        <v>1294</v>
      </c>
      <c r="T30">
        <v>175731</v>
      </c>
      <c r="U30">
        <v>2219326</v>
      </c>
      <c r="V30" s="18">
        <f t="shared" ref="V30:V35" si="6">IFERROR((U30/T30),0)</f>
        <v>12.629109263590374</v>
      </c>
      <c r="W30" s="4">
        <f t="shared" ref="W30:W35" si="7">F30-U30</f>
        <v>-2219326</v>
      </c>
      <c r="X30" s="19" t="e">
        <f t="shared" ref="X30:X35" si="8">W30/F30</f>
        <v>#DIV/0!</v>
      </c>
      <c r="Y30" s="37"/>
    </row>
    <row r="31" spans="1:25" x14ac:dyDescent="0.35">
      <c r="A31" t="s">
        <v>1122</v>
      </c>
      <c r="B31" s="66" t="s">
        <v>1598</v>
      </c>
      <c r="C31" s="67" t="s">
        <v>1525</v>
      </c>
      <c r="D31" s="68" t="s">
        <v>1576</v>
      </c>
      <c r="E31" s="60">
        <v>16631</v>
      </c>
      <c r="F31" s="60">
        <v>176026.9</v>
      </c>
      <c r="G31" s="34">
        <f>IFERROR((F31/E31),0)</f>
        <v>10.584264325656905</v>
      </c>
      <c r="H31" s="1">
        <v>58309</v>
      </c>
      <c r="I31" s="1">
        <v>563617</v>
      </c>
      <c r="J31" s="64">
        <f>IFERROR((I31/H31),0)</f>
        <v>9.6660378329245908</v>
      </c>
      <c r="K31" s="90">
        <f>I31-F31</f>
        <v>387590.1</v>
      </c>
      <c r="L31" s="90">
        <f>(H31-E31)/1000</f>
        <v>41.677999999999997</v>
      </c>
      <c r="M31" s="55" t="s">
        <v>1061</v>
      </c>
      <c r="O31" s="19">
        <f>K31/F31</f>
        <v>2.2018799399409974</v>
      </c>
      <c r="P31" s="19">
        <f>L31/(E31/1000)</f>
        <v>2.5060429318742106</v>
      </c>
      <c r="R31" s="20" t="s">
        <v>1283</v>
      </c>
      <c r="T31">
        <v>0</v>
      </c>
      <c r="U31">
        <v>0</v>
      </c>
      <c r="V31" s="18">
        <f t="shared" si="6"/>
        <v>0</v>
      </c>
      <c r="W31" s="4">
        <f t="shared" si="7"/>
        <v>176026.9</v>
      </c>
      <c r="X31" s="19">
        <f t="shared" si="8"/>
        <v>1</v>
      </c>
      <c r="Y31" s="37"/>
    </row>
    <row r="32" spans="1:25" x14ac:dyDescent="0.35">
      <c r="A32" t="s">
        <v>688</v>
      </c>
      <c r="B32" s="66" t="s">
        <v>822</v>
      </c>
      <c r="C32" s="67" t="s">
        <v>1238</v>
      </c>
      <c r="D32" s="68" t="s">
        <v>76</v>
      </c>
      <c r="E32" s="60">
        <v>48329</v>
      </c>
      <c r="F32" s="60">
        <v>655163.80000000005</v>
      </c>
      <c r="G32" s="34">
        <f>IFERROR((F32/E32),0)</f>
        <v>13.5563284984171</v>
      </c>
      <c r="H32" s="1">
        <v>72941</v>
      </c>
      <c r="I32" s="1">
        <v>1035149</v>
      </c>
      <c r="J32" s="64">
        <f>IFERROR((I32/H32),0)</f>
        <v>14.191593205467433</v>
      </c>
      <c r="K32" s="90">
        <f>I32-F32</f>
        <v>379985.19999999995</v>
      </c>
      <c r="L32" s="90">
        <f>(H32-E32)/1000</f>
        <v>24.611999999999998</v>
      </c>
      <c r="M32" s="55" t="s">
        <v>1061</v>
      </c>
      <c r="O32" s="19">
        <f>K32/F32</f>
        <v>0.57998503580326011</v>
      </c>
      <c r="P32" s="19">
        <f>L32/(E32/1000)</f>
        <v>0.50925945084731727</v>
      </c>
      <c r="R32" s="20" t="s">
        <v>1600</v>
      </c>
      <c r="T32">
        <v>0</v>
      </c>
      <c r="U32">
        <v>0</v>
      </c>
      <c r="V32" s="18">
        <f t="shared" si="6"/>
        <v>0</v>
      </c>
      <c r="W32" s="4">
        <f t="shared" si="7"/>
        <v>655163.80000000005</v>
      </c>
      <c r="X32" s="19">
        <f t="shared" si="8"/>
        <v>1</v>
      </c>
      <c r="Y32" s="37"/>
    </row>
    <row r="33" spans="1:25" x14ac:dyDescent="0.35">
      <c r="A33" t="s">
        <v>519</v>
      </c>
      <c r="B33" s="66" t="s">
        <v>813</v>
      </c>
      <c r="C33" s="67" t="s">
        <v>470</v>
      </c>
      <c r="D33" s="68" t="s">
        <v>48</v>
      </c>
      <c r="E33" s="60">
        <v>204013</v>
      </c>
      <c r="F33" s="60">
        <v>2412711</v>
      </c>
      <c r="G33" s="34">
        <f>IFERROR((F33/E33),0)</f>
        <v>11.826261071598379</v>
      </c>
      <c r="H33" s="1">
        <v>236801</v>
      </c>
      <c r="I33" s="1">
        <v>2750762</v>
      </c>
      <c r="J33" s="64">
        <f>IFERROR((I33/H33),0)</f>
        <v>11.616344525572105</v>
      </c>
      <c r="K33" s="90">
        <f>I33-F33</f>
        <v>338051</v>
      </c>
      <c r="L33" s="90">
        <f>(H33-E33)/1000</f>
        <v>32.787999999999997</v>
      </c>
      <c r="M33" s="55" t="s">
        <v>1061</v>
      </c>
      <c r="O33" s="19">
        <f>K33/F33</f>
        <v>0.14011251243932654</v>
      </c>
      <c r="P33" s="19">
        <f>L33/(E33/1000)</f>
        <v>0.16071524853808333</v>
      </c>
      <c r="R33" s="20" t="s">
        <v>1060</v>
      </c>
      <c r="T33">
        <v>2851</v>
      </c>
      <c r="U33">
        <v>31877</v>
      </c>
      <c r="V33" s="18">
        <f t="shared" si="6"/>
        <v>11.180989126622238</v>
      </c>
      <c r="W33" s="4">
        <f t="shared" si="7"/>
        <v>2380834</v>
      </c>
      <c r="X33" s="19">
        <f t="shared" si="8"/>
        <v>0.98678789129738287</v>
      </c>
      <c r="Y33" s="37"/>
    </row>
    <row r="34" spans="1:25" x14ac:dyDescent="0.35">
      <c r="A34" t="s">
        <v>1079</v>
      </c>
      <c r="B34" s="66" t="s">
        <v>1721</v>
      </c>
      <c r="C34" s="67" t="s">
        <v>1620</v>
      </c>
      <c r="D34" s="68" t="s">
        <v>1621</v>
      </c>
      <c r="E34" s="59">
        <v>0</v>
      </c>
      <c r="F34" s="59">
        <v>0</v>
      </c>
      <c r="G34" s="34">
        <f>IFERROR((F34/E34),0)</f>
        <v>0</v>
      </c>
      <c r="H34" s="1">
        <v>34901</v>
      </c>
      <c r="I34" s="1">
        <v>310706</v>
      </c>
      <c r="J34" s="64">
        <f>IFERROR((I34/H34),0)</f>
        <v>8.9024956304976932</v>
      </c>
      <c r="K34" s="90">
        <f>I34-F34</f>
        <v>310706</v>
      </c>
      <c r="L34" s="90">
        <f>(H34-E34)/1000</f>
        <v>34.901000000000003</v>
      </c>
      <c r="M34" s="55" t="s">
        <v>1061</v>
      </c>
      <c r="O34" s="19" t="e">
        <f>K34/F34</f>
        <v>#DIV/0!</v>
      </c>
      <c r="P34" s="19" t="e">
        <f>L34/(E34/1000)</f>
        <v>#DIV/0!</v>
      </c>
      <c r="R34" s="20" t="s">
        <v>1302</v>
      </c>
      <c r="T34">
        <v>9664</v>
      </c>
      <c r="U34">
        <v>119081</v>
      </c>
      <c r="V34" s="18">
        <f t="shared" si="6"/>
        <v>12.32212334437086</v>
      </c>
      <c r="W34" s="4">
        <f t="shared" si="7"/>
        <v>-119081</v>
      </c>
      <c r="X34" s="19" t="e">
        <f t="shared" si="8"/>
        <v>#DIV/0!</v>
      </c>
      <c r="Y34" s="37"/>
    </row>
    <row r="35" spans="1:25" x14ac:dyDescent="0.35">
      <c r="A35" t="s">
        <v>871</v>
      </c>
      <c r="B35" s="66" t="s">
        <v>1595</v>
      </c>
      <c r="C35" s="67" t="s">
        <v>1521</v>
      </c>
      <c r="D35" s="68" t="s">
        <v>1572</v>
      </c>
      <c r="E35" s="60">
        <v>38974</v>
      </c>
      <c r="F35" s="60">
        <v>429050.7</v>
      </c>
      <c r="G35" s="34">
        <f>IFERROR((F35/E35),0)</f>
        <v>11.008639092728487</v>
      </c>
      <c r="H35" s="1">
        <v>64967</v>
      </c>
      <c r="I35" s="1">
        <v>737724</v>
      </c>
      <c r="J35" s="64">
        <f>IFERROR((I35/H35),0)</f>
        <v>11.35536503147752</v>
      </c>
      <c r="K35" s="90">
        <f>I35-F35</f>
        <v>308673.3</v>
      </c>
      <c r="L35" s="90">
        <f>(H35-E35)/1000</f>
        <v>25.992999999999999</v>
      </c>
      <c r="M35" s="55" t="s">
        <v>1061</v>
      </c>
      <c r="O35" s="19">
        <f>K35/F35</f>
        <v>0.71943315789952089</v>
      </c>
      <c r="P35" s="19">
        <f>L35/(E35/1000)</f>
        <v>0.66693180068763791</v>
      </c>
      <c r="R35" s="20" t="s">
        <v>1312</v>
      </c>
      <c r="T35">
        <v>1915</v>
      </c>
      <c r="U35">
        <v>19059</v>
      </c>
      <c r="V35" s="18">
        <f t="shared" si="6"/>
        <v>9.95248041775457</v>
      </c>
      <c r="W35" s="4">
        <f t="shared" si="7"/>
        <v>409991.7</v>
      </c>
      <c r="X35" s="19">
        <f t="shared" si="8"/>
        <v>0.95557867636621963</v>
      </c>
      <c r="Y35" s="37" t="s">
        <v>1066</v>
      </c>
    </row>
    <row r="36" spans="1:25" x14ac:dyDescent="0.35">
      <c r="A36" t="s">
        <v>1405</v>
      </c>
      <c r="B36" s="66" t="s">
        <v>822</v>
      </c>
      <c r="C36" s="67" t="s">
        <v>711</v>
      </c>
      <c r="D36" s="69" t="s">
        <v>192</v>
      </c>
      <c r="E36" s="60">
        <v>4107</v>
      </c>
      <c r="F36" s="60">
        <v>140898.70000000001</v>
      </c>
      <c r="G36" s="34">
        <f>IFERROR((F36/E36),0)</f>
        <v>34.306963720477235</v>
      </c>
      <c r="H36" s="1">
        <v>28847</v>
      </c>
      <c r="I36" s="1">
        <v>447741</v>
      </c>
      <c r="J36" s="64">
        <f>IFERROR((I36/H36),0)</f>
        <v>15.521232710507158</v>
      </c>
      <c r="K36" s="90">
        <f>I36-F36</f>
        <v>306842.3</v>
      </c>
      <c r="L36" s="90">
        <f>(H36-E36)/1000</f>
        <v>24.74</v>
      </c>
      <c r="M36" s="55" t="s">
        <v>1061</v>
      </c>
      <c r="O36" s="19">
        <f>K36/F36</f>
        <v>2.1777511077107166</v>
      </c>
      <c r="P36" s="19">
        <f>L36/(E36/1000)</f>
        <v>6.0238616995373748</v>
      </c>
      <c r="R36" s="20" t="s">
        <v>1288</v>
      </c>
      <c r="W36" s="61"/>
      <c r="Y36" s="55"/>
    </row>
    <row r="37" spans="1:25" x14ac:dyDescent="0.35">
      <c r="A37" t="s">
        <v>470</v>
      </c>
      <c r="B37" s="66" t="s">
        <v>1595</v>
      </c>
      <c r="C37" s="67" t="s">
        <v>1533</v>
      </c>
      <c r="D37" s="68" t="s">
        <v>1585</v>
      </c>
      <c r="E37" s="60">
        <v>98767</v>
      </c>
      <c r="F37" s="60">
        <v>920659.9</v>
      </c>
      <c r="G37" s="34">
        <f>IFERROR((F37/E37),0)</f>
        <v>9.321533508155559</v>
      </c>
      <c r="H37" s="1">
        <v>126179</v>
      </c>
      <c r="I37" s="1">
        <v>1222905</v>
      </c>
      <c r="J37" s="64">
        <f>IFERROR((I37/H37),0)</f>
        <v>9.6918266906537536</v>
      </c>
      <c r="K37" s="90">
        <f>I37-F37</f>
        <v>302245.09999999998</v>
      </c>
      <c r="L37" s="90">
        <f>(H37-E37)/1000</f>
        <v>27.411999999999999</v>
      </c>
      <c r="M37" s="55" t="s">
        <v>1061</v>
      </c>
      <c r="O37" s="19">
        <f>K37/F37</f>
        <v>0.32829180460667395</v>
      </c>
      <c r="P37" s="19">
        <f>L37/(E37/1000)</f>
        <v>0.27754209401925745</v>
      </c>
      <c r="R37" s="20" t="s">
        <v>1301</v>
      </c>
      <c r="W37" s="61"/>
      <c r="Y37" s="55"/>
    </row>
    <row r="38" spans="1:25" x14ac:dyDescent="0.35">
      <c r="A38" t="s">
        <v>873</v>
      </c>
      <c r="B38" s="66" t="s">
        <v>810</v>
      </c>
      <c r="C38" s="67" t="s">
        <v>649</v>
      </c>
      <c r="D38" s="68" t="s">
        <v>28</v>
      </c>
      <c r="E38" s="60">
        <v>119203</v>
      </c>
      <c r="F38" s="60">
        <v>1281363</v>
      </c>
      <c r="G38" s="34">
        <f>IFERROR((F38/E38),0)</f>
        <v>10.749419058245179</v>
      </c>
      <c r="H38" s="1">
        <v>133584</v>
      </c>
      <c r="I38" s="1">
        <v>1574464</v>
      </c>
      <c r="J38" s="64">
        <f>IFERROR((I38/H38),0)</f>
        <v>11.78632171517547</v>
      </c>
      <c r="K38" s="90">
        <f>I38-F38</f>
        <v>293101</v>
      </c>
      <c r="L38" s="90">
        <f>(H38-E38)/1000</f>
        <v>14.381</v>
      </c>
      <c r="M38" s="55" t="s">
        <v>1061</v>
      </c>
      <c r="O38" s="19">
        <f>K38/F38</f>
        <v>0.22874158220582302</v>
      </c>
      <c r="P38" s="19">
        <f>L38/(E38/1000)</f>
        <v>0.12064293683883795</v>
      </c>
      <c r="R38" s="20" t="s">
        <v>1286</v>
      </c>
      <c r="T38">
        <v>0</v>
      </c>
      <c r="U38">
        <v>0</v>
      </c>
      <c r="V38" s="18">
        <f>IFERROR((U38/T38),0)</f>
        <v>0</v>
      </c>
      <c r="W38" s="4">
        <f>F38-U38</f>
        <v>1281363</v>
      </c>
      <c r="X38" s="19">
        <f>W38/F38</f>
        <v>1</v>
      </c>
      <c r="Y38" s="37"/>
    </row>
    <row r="39" spans="1:25" x14ac:dyDescent="0.35">
      <c r="A39" t="s">
        <v>660</v>
      </c>
      <c r="B39" s="66" t="s">
        <v>837</v>
      </c>
      <c r="C39" s="67" t="s">
        <v>756</v>
      </c>
      <c r="D39" s="68" t="s">
        <v>357</v>
      </c>
      <c r="E39" s="60">
        <v>25666</v>
      </c>
      <c r="F39" s="60">
        <v>238275.7</v>
      </c>
      <c r="G39" s="34">
        <f>IFERROR((F39/E39),0)</f>
        <v>9.283709966492637</v>
      </c>
      <c r="H39" s="1">
        <v>50333</v>
      </c>
      <c r="I39" s="1">
        <v>499492</v>
      </c>
      <c r="J39" s="64">
        <f>IFERROR((I39/H39),0)</f>
        <v>9.9237478393896641</v>
      </c>
      <c r="K39" s="90">
        <f>I39-F39</f>
        <v>261216.3</v>
      </c>
      <c r="L39" s="90">
        <f>(H39-E39)/1000</f>
        <v>24.667000000000002</v>
      </c>
      <c r="M39" s="55" t="s">
        <v>1061</v>
      </c>
      <c r="O39" s="19">
        <f>K39/F39</f>
        <v>1.0962775473957267</v>
      </c>
      <c r="P39" s="19">
        <f>L39/(E39/1000)</f>
        <v>0.96107691108859972</v>
      </c>
      <c r="R39" s="20" t="s">
        <v>1302</v>
      </c>
      <c r="T39">
        <v>69</v>
      </c>
      <c r="U39">
        <v>1243</v>
      </c>
      <c r="V39" s="18">
        <f>IFERROR((U39/T39),0)</f>
        <v>18.014492753623188</v>
      </c>
      <c r="W39" s="4">
        <f>F39-U39</f>
        <v>237032.7</v>
      </c>
      <c r="X39" s="19">
        <f>W39/F39</f>
        <v>0.99478335390474149</v>
      </c>
      <c r="Y39" s="37" t="s">
        <v>1277</v>
      </c>
    </row>
    <row r="40" spans="1:25" x14ac:dyDescent="0.35">
      <c r="A40" t="s">
        <v>875</v>
      </c>
      <c r="B40" s="66" t="s">
        <v>822</v>
      </c>
      <c r="C40" s="67" t="s">
        <v>666</v>
      </c>
      <c r="D40" s="68" t="s">
        <v>79</v>
      </c>
      <c r="E40" s="60">
        <v>74886</v>
      </c>
      <c r="F40" s="60">
        <v>1271982</v>
      </c>
      <c r="G40" s="34">
        <f>IFERROR((F40/E40),0)</f>
        <v>16.985578078679595</v>
      </c>
      <c r="H40" s="1">
        <v>110756</v>
      </c>
      <c r="I40" s="1">
        <v>1531762</v>
      </c>
      <c r="J40" s="64">
        <f>IFERROR((I40/H40),0)</f>
        <v>13.830058868142583</v>
      </c>
      <c r="K40" s="90">
        <f>I40-F40</f>
        <v>259780</v>
      </c>
      <c r="L40" s="90">
        <f>(H40-E40)/1000</f>
        <v>35.869999999999997</v>
      </c>
      <c r="M40" s="55" t="s">
        <v>1061</v>
      </c>
      <c r="O40" s="19">
        <f>K40/F40</f>
        <v>0.20423244983026489</v>
      </c>
      <c r="P40" s="19">
        <f>L40/(E40/1000)</f>
        <v>0.4789947386694442</v>
      </c>
      <c r="R40" s="20" t="s">
        <v>1288</v>
      </c>
      <c r="W40" s="61"/>
      <c r="Y40" s="55"/>
    </row>
    <row r="41" spans="1:25" x14ac:dyDescent="0.35">
      <c r="A41" t="s">
        <v>1406</v>
      </c>
      <c r="B41" s="66" t="s">
        <v>1061</v>
      </c>
      <c r="C41" s="67" t="s">
        <v>388</v>
      </c>
      <c r="D41" s="68" t="s">
        <v>1233</v>
      </c>
      <c r="E41" s="60">
        <v>328664</v>
      </c>
      <c r="F41" s="60">
        <v>3958381</v>
      </c>
      <c r="G41" s="34">
        <f>IFERROR((F41/E41),0)</f>
        <v>12.043853296984153</v>
      </c>
      <c r="H41" s="1">
        <v>359571</v>
      </c>
      <c r="I41" s="1">
        <v>4212428</v>
      </c>
      <c r="J41" s="64">
        <f>IFERROR((I41/H41),0)</f>
        <v>11.715149441973908</v>
      </c>
      <c r="K41" s="90">
        <f>I41-F41</f>
        <v>254047</v>
      </c>
      <c r="L41" s="90">
        <f>(H41-E41)/1000</f>
        <v>30.907</v>
      </c>
      <c r="M41" s="55" t="s">
        <v>1061</v>
      </c>
      <c r="O41" s="19">
        <f>K41/F41</f>
        <v>6.4179521880283877E-2</v>
      </c>
      <c r="P41" s="19">
        <f>L41/(E41/1000)</f>
        <v>9.4038288343110288E-2</v>
      </c>
      <c r="R41" s="20" t="s">
        <v>1286</v>
      </c>
      <c r="T41">
        <v>217823</v>
      </c>
      <c r="U41">
        <v>2250838</v>
      </c>
      <c r="V41" s="18">
        <f>IFERROR((U41/T41),0)</f>
        <v>10.333334863627808</v>
      </c>
      <c r="W41" s="4">
        <f>F41-U41</f>
        <v>1707543</v>
      </c>
      <c r="X41" s="19">
        <f>W41/F41</f>
        <v>0.43137408955833206</v>
      </c>
      <c r="Y41" s="37"/>
    </row>
    <row r="42" spans="1:25" x14ac:dyDescent="0.35">
      <c r="A42" t="s">
        <v>713</v>
      </c>
      <c r="B42" s="66" t="s">
        <v>1226</v>
      </c>
      <c r="C42" s="67" t="s">
        <v>410</v>
      </c>
      <c r="D42" s="68" t="s">
        <v>197</v>
      </c>
      <c r="E42" s="60">
        <v>3711</v>
      </c>
      <c r="F42" s="60">
        <v>140923.20000000001</v>
      </c>
      <c r="G42" s="34">
        <f>IFERROR((F42/E42),0)</f>
        <v>37.974454324979796</v>
      </c>
      <c r="H42" s="1">
        <v>32190</v>
      </c>
      <c r="I42" s="1">
        <v>388698</v>
      </c>
      <c r="J42" s="64">
        <f>IFERROR((I42/H42),0)</f>
        <v>12.075116495806151</v>
      </c>
      <c r="K42" s="90">
        <f>I42-F42</f>
        <v>247774.8</v>
      </c>
      <c r="L42" s="90">
        <f>(H42-E42)/1000</f>
        <v>28.478999999999999</v>
      </c>
      <c r="M42" s="55" t="s">
        <v>1061</v>
      </c>
      <c r="O42" s="19">
        <f>K42/F42</f>
        <v>1.7582257570080722</v>
      </c>
      <c r="P42" s="19">
        <f>L42/(E42/1000)</f>
        <v>7.6742118027485855</v>
      </c>
      <c r="R42" s="20" t="s">
        <v>1601</v>
      </c>
      <c r="W42" s="61"/>
      <c r="Y42" s="55"/>
    </row>
    <row r="43" spans="1:25" x14ac:dyDescent="0.35">
      <c r="A43" t="s">
        <v>652</v>
      </c>
      <c r="B43" s="66" t="s">
        <v>1061</v>
      </c>
      <c r="C43" s="67" t="s">
        <v>871</v>
      </c>
      <c r="D43" s="68" t="s">
        <v>872</v>
      </c>
      <c r="E43" s="60">
        <v>70549</v>
      </c>
      <c r="F43" s="60">
        <v>557126</v>
      </c>
      <c r="G43" s="34">
        <f>IFERROR((F43/E43),0)</f>
        <v>7.8970077534763075</v>
      </c>
      <c r="H43" s="1">
        <v>103683</v>
      </c>
      <c r="I43" s="1">
        <v>799930</v>
      </c>
      <c r="J43" s="64">
        <f>IFERROR((I43/H43),0)</f>
        <v>7.7151509890724617</v>
      </c>
      <c r="K43" s="90">
        <f>I43-F43</f>
        <v>242804</v>
      </c>
      <c r="L43" s="90">
        <f>(H43-E43)/1000</f>
        <v>33.134</v>
      </c>
      <c r="M43" s="55" t="s">
        <v>1061</v>
      </c>
      <c r="O43" s="19">
        <f>K43/F43</f>
        <v>0.43581523748667267</v>
      </c>
      <c r="P43" s="19">
        <f>L43/(E43/1000)</f>
        <v>0.46965938567520443</v>
      </c>
      <c r="R43" s="20" t="s">
        <v>1285</v>
      </c>
      <c r="T43">
        <v>6932</v>
      </c>
      <c r="U43">
        <v>78626</v>
      </c>
      <c r="V43" s="18">
        <f>IFERROR((U43/T43),0)</f>
        <v>11.342469705712636</v>
      </c>
      <c r="W43" s="4">
        <f>F43-U43</f>
        <v>478500</v>
      </c>
      <c r="X43" s="19">
        <f>W43/F43</f>
        <v>0.85887214023398661</v>
      </c>
      <c r="Y43" s="37"/>
    </row>
    <row r="44" spans="1:25" x14ac:dyDescent="0.35">
      <c r="A44" t="s">
        <v>879</v>
      </c>
      <c r="B44" s="66" t="s">
        <v>821</v>
      </c>
      <c r="C44" s="67" t="s">
        <v>640</v>
      </c>
      <c r="D44" s="68" t="s">
        <v>50</v>
      </c>
      <c r="E44" s="60">
        <v>40506</v>
      </c>
      <c r="F44" s="60">
        <v>608957.1</v>
      </c>
      <c r="G44" s="34">
        <f>IFERROR((F44/E44),0)</f>
        <v>15.033750555473263</v>
      </c>
      <c r="H44" s="1">
        <v>57473</v>
      </c>
      <c r="I44" s="1">
        <v>849583</v>
      </c>
      <c r="J44" s="64">
        <f>IFERROR((I44/H44),0)</f>
        <v>14.782297774607207</v>
      </c>
      <c r="K44" s="90">
        <f>I44-F44</f>
        <v>240625.90000000002</v>
      </c>
      <c r="L44" s="90">
        <f>(H44-E44)/1000</f>
        <v>16.966999999999999</v>
      </c>
      <c r="M44" s="55" t="s">
        <v>1061</v>
      </c>
      <c r="O44" s="19">
        <f>K44/F44</f>
        <v>0.39514425564625166</v>
      </c>
      <c r="P44" s="19">
        <f>L44/(E44/1000)</f>
        <v>0.41887621586925389</v>
      </c>
      <c r="R44" s="20" t="s">
        <v>1293</v>
      </c>
      <c r="T44">
        <v>0</v>
      </c>
      <c r="U44">
        <v>0</v>
      </c>
      <c r="V44" s="18">
        <f>IFERROR((U44/T44),0)</f>
        <v>0</v>
      </c>
      <c r="W44" s="4">
        <f>F44-U44</f>
        <v>608957.1</v>
      </c>
      <c r="X44" s="19">
        <f>W44/F44</f>
        <v>1</v>
      </c>
      <c r="Y44" s="37"/>
    </row>
    <row r="45" spans="1:25" x14ac:dyDescent="0.35">
      <c r="A45" t="s">
        <v>1091</v>
      </c>
      <c r="B45" s="66" t="s">
        <v>1061</v>
      </c>
      <c r="C45" s="67" t="s">
        <v>1432</v>
      </c>
      <c r="D45" s="68" t="s">
        <v>71</v>
      </c>
      <c r="E45" s="60">
        <v>15576</v>
      </c>
      <c r="F45" s="60">
        <v>156201</v>
      </c>
      <c r="G45" s="34">
        <f>IFERROR((F45/E45),0)</f>
        <v>10.028312788906009</v>
      </c>
      <c r="H45" s="1">
        <v>34639</v>
      </c>
      <c r="I45" s="1">
        <v>395931</v>
      </c>
      <c r="J45" s="64">
        <f>IFERROR((I45/H45),0)</f>
        <v>11.430208724270331</v>
      </c>
      <c r="K45" s="90">
        <f>I45-F45</f>
        <v>239730</v>
      </c>
      <c r="L45" s="90">
        <f>(H45-E45)/1000</f>
        <v>19.062999999999999</v>
      </c>
      <c r="M45" s="55" t="s">
        <v>1061</v>
      </c>
      <c r="O45" s="19">
        <f>K45/F45</f>
        <v>1.5347532986344519</v>
      </c>
      <c r="P45" s="19">
        <f>L45/(E45/1000)</f>
        <v>1.223870056497175</v>
      </c>
      <c r="R45" s="20" t="s">
        <v>1062</v>
      </c>
      <c r="T45">
        <v>3143</v>
      </c>
      <c r="U45">
        <v>66660</v>
      </c>
      <c r="V45" s="18">
        <f>IFERROR((U45/T45),0)</f>
        <v>21.209035952911233</v>
      </c>
      <c r="W45" s="4">
        <f>F45-U45</f>
        <v>89541</v>
      </c>
      <c r="X45" s="19">
        <f>W45/F45</f>
        <v>0.57324216874411815</v>
      </c>
      <c r="Y45" s="37"/>
    </row>
    <row r="46" spans="1:25" x14ac:dyDescent="0.35">
      <c r="A46" t="s">
        <v>549</v>
      </c>
      <c r="B46" s="66" t="s">
        <v>1721</v>
      </c>
      <c r="C46" s="67" t="s">
        <v>1622</v>
      </c>
      <c r="D46" s="68" t="s">
        <v>1623</v>
      </c>
      <c r="E46" s="59">
        <v>0</v>
      </c>
      <c r="F46" s="59">
        <v>0</v>
      </c>
      <c r="G46" s="34">
        <f>IFERROR((F46/E46),0)</f>
        <v>0</v>
      </c>
      <c r="H46" s="1">
        <v>18732</v>
      </c>
      <c r="I46" s="1">
        <v>235734</v>
      </c>
      <c r="J46" s="64">
        <f>IFERROR((I46/H46),0)</f>
        <v>12.584561178731583</v>
      </c>
      <c r="K46" s="90">
        <f>I46-F46</f>
        <v>235734</v>
      </c>
      <c r="L46" s="90">
        <f>(H46-E46)/1000</f>
        <v>18.731999999999999</v>
      </c>
      <c r="M46" s="55" t="s">
        <v>1061</v>
      </c>
      <c r="O46" s="19" t="e">
        <f>K46/F46</f>
        <v>#DIV/0!</v>
      </c>
      <c r="P46" s="19" t="e">
        <f>L46/(E46/1000)</f>
        <v>#DIV/0!</v>
      </c>
      <c r="R46" s="20" t="s">
        <v>1062</v>
      </c>
      <c r="T46">
        <v>2374</v>
      </c>
      <c r="U46">
        <v>35748</v>
      </c>
      <c r="V46" s="18">
        <f>IFERROR((U46/T46),0)</f>
        <v>15.058129738837405</v>
      </c>
      <c r="W46" s="4">
        <f>F46-U46</f>
        <v>-35748</v>
      </c>
      <c r="X46" s="19" t="e">
        <f>W46/F46</f>
        <v>#DIV/0!</v>
      </c>
      <c r="Y46" s="37" t="s">
        <v>1277</v>
      </c>
    </row>
    <row r="47" spans="1:25" x14ac:dyDescent="0.35">
      <c r="A47" t="s">
        <v>1073</v>
      </c>
      <c r="B47" s="66" t="s">
        <v>1394</v>
      </c>
      <c r="C47" s="67" t="s">
        <v>1474</v>
      </c>
      <c r="D47" s="68" t="s">
        <v>1387</v>
      </c>
      <c r="E47" s="60">
        <v>19055</v>
      </c>
      <c r="F47" s="60">
        <v>239973.1</v>
      </c>
      <c r="G47" s="34">
        <f>IFERROR((F47/E47),0)</f>
        <v>12.593707688270795</v>
      </c>
      <c r="H47" s="1">
        <v>31677</v>
      </c>
      <c r="I47" s="1">
        <v>472422</v>
      </c>
      <c r="J47" s="64">
        <f>IFERROR((I47/H47),0)</f>
        <v>14.91372289042523</v>
      </c>
      <c r="K47" s="90">
        <f>I47-F47</f>
        <v>232448.9</v>
      </c>
      <c r="L47" s="90">
        <f>(H47-E47)/1000</f>
        <v>12.622</v>
      </c>
      <c r="M47" s="55" t="s">
        <v>1061</v>
      </c>
      <c r="O47" s="19">
        <f>K47/F47</f>
        <v>0.96864565236686939</v>
      </c>
      <c r="P47" s="19">
        <f>L47/(E47/1000)</f>
        <v>0.66239832065074788</v>
      </c>
      <c r="R47" s="20" t="s">
        <v>1297</v>
      </c>
      <c r="T47">
        <v>0</v>
      </c>
      <c r="U47">
        <v>0</v>
      </c>
      <c r="V47" s="18">
        <f>IFERROR((U47/T47),0)</f>
        <v>0</v>
      </c>
      <c r="W47" s="4">
        <f>F47-U47</f>
        <v>239973.1</v>
      </c>
      <c r="X47" s="19">
        <f>W47/F47</f>
        <v>1</v>
      </c>
      <c r="Y47" s="37"/>
    </row>
    <row r="48" spans="1:25" x14ac:dyDescent="0.35">
      <c r="A48" t="s">
        <v>1408</v>
      </c>
      <c r="B48" s="66" t="s">
        <v>1721</v>
      </c>
      <c r="C48" s="67" t="s">
        <v>1624</v>
      </c>
      <c r="D48" s="68" t="s">
        <v>1625</v>
      </c>
      <c r="E48" s="59">
        <v>0</v>
      </c>
      <c r="F48" s="59">
        <v>0</v>
      </c>
      <c r="G48" s="34">
        <f>IFERROR((F48/E48),0)</f>
        <v>0</v>
      </c>
      <c r="H48" s="1">
        <v>20526</v>
      </c>
      <c r="I48" s="1">
        <v>227365</v>
      </c>
      <c r="J48" s="64">
        <f>IFERROR((I48/H48),0)</f>
        <v>11.076926824515249</v>
      </c>
      <c r="K48" s="90">
        <f>I48-F48</f>
        <v>227365</v>
      </c>
      <c r="L48" s="90">
        <f>(H48-E48)/1000</f>
        <v>20.526</v>
      </c>
      <c r="M48" s="55" t="s">
        <v>1061</v>
      </c>
      <c r="O48" s="19" t="e">
        <f>K48/F48</f>
        <v>#DIV/0!</v>
      </c>
      <c r="P48" s="19" t="e">
        <f>L48/(E48/1000)</f>
        <v>#DIV/0!</v>
      </c>
      <c r="R48" s="20" t="s">
        <v>1303</v>
      </c>
      <c r="W48" s="61"/>
      <c r="Y48" s="55"/>
    </row>
    <row r="49" spans="1:25" x14ac:dyDescent="0.35">
      <c r="A49" t="s">
        <v>418</v>
      </c>
      <c r="B49" s="66" t="s">
        <v>1219</v>
      </c>
      <c r="C49" s="67" t="s">
        <v>1119</v>
      </c>
      <c r="D49" s="68" t="s">
        <v>1162</v>
      </c>
      <c r="E49" s="60">
        <v>295</v>
      </c>
      <c r="F49" s="60">
        <v>9647.8310000000001</v>
      </c>
      <c r="G49" s="34">
        <f>IFERROR((F49/E49),0)</f>
        <v>32.704511864406783</v>
      </c>
      <c r="H49" s="1">
        <v>12694</v>
      </c>
      <c r="I49" s="1">
        <v>236792</v>
      </c>
      <c r="J49" s="64">
        <f>IFERROR((I49/H49),0)</f>
        <v>18.653852213644242</v>
      </c>
      <c r="K49" s="90">
        <f>I49-F49</f>
        <v>227144.16899999999</v>
      </c>
      <c r="L49" s="90">
        <f>(H49-E49)/1000</f>
        <v>12.398999999999999</v>
      </c>
      <c r="M49" s="55" t="s">
        <v>1061</v>
      </c>
      <c r="O49" s="19">
        <f>K49/F49</f>
        <v>23.543547663718403</v>
      </c>
      <c r="P49" s="19">
        <f>L49/(E49/1000)</f>
        <v>42.030508474576273</v>
      </c>
      <c r="R49" s="20" t="s">
        <v>1307</v>
      </c>
      <c r="T49">
        <v>0</v>
      </c>
      <c r="U49">
        <v>0</v>
      </c>
      <c r="V49" s="18">
        <f t="shared" ref="V49:V55" si="9">IFERROR((U49/T49),0)</f>
        <v>0</v>
      </c>
      <c r="W49" s="4">
        <f t="shared" ref="W49:W55" si="10">F49-U49</f>
        <v>9647.8310000000001</v>
      </c>
      <c r="X49" s="19">
        <f t="shared" ref="X49:X55" si="11">W49/F49</f>
        <v>1</v>
      </c>
      <c r="Y49" s="37"/>
    </row>
    <row r="50" spans="1:25" x14ac:dyDescent="0.35">
      <c r="A50" t="s">
        <v>1117</v>
      </c>
      <c r="B50" s="66" t="s">
        <v>1219</v>
      </c>
      <c r="C50" s="67" t="s">
        <v>1132</v>
      </c>
      <c r="D50" s="68" t="s">
        <v>1592</v>
      </c>
      <c r="E50" s="60">
        <v>2795</v>
      </c>
      <c r="F50" s="60">
        <v>16550.75</v>
      </c>
      <c r="G50" s="34">
        <f>IFERROR((F50/E50),0)</f>
        <v>5.9215563506261182</v>
      </c>
      <c r="H50" s="1">
        <v>22833</v>
      </c>
      <c r="I50" s="1">
        <v>242391</v>
      </c>
      <c r="J50" s="64">
        <f>IFERROR((I50/H50),0)</f>
        <v>10.615819209039548</v>
      </c>
      <c r="K50" s="90">
        <f>I50-F50</f>
        <v>225840.25</v>
      </c>
      <c r="L50" s="90">
        <f>(H50-E50)/1000</f>
        <v>20.038</v>
      </c>
      <c r="M50" s="55" t="s">
        <v>1061</v>
      </c>
      <c r="O50" s="19">
        <f>K50/F50</f>
        <v>13.645318187997523</v>
      </c>
      <c r="P50" s="19">
        <f>L50/(E50/1000)</f>
        <v>7.1692307692307695</v>
      </c>
      <c r="R50" s="20" t="s">
        <v>1283</v>
      </c>
      <c r="T50">
        <v>0</v>
      </c>
      <c r="U50">
        <v>0</v>
      </c>
      <c r="V50" s="18">
        <f t="shared" si="9"/>
        <v>0</v>
      </c>
      <c r="W50" s="4">
        <f t="shared" si="10"/>
        <v>16550.75</v>
      </c>
      <c r="X50" s="19">
        <f t="shared" si="11"/>
        <v>1</v>
      </c>
      <c r="Y50" s="37"/>
    </row>
    <row r="51" spans="1:25" x14ac:dyDescent="0.35">
      <c r="A51" t="s">
        <v>883</v>
      </c>
      <c r="B51" s="66" t="s">
        <v>1721</v>
      </c>
      <c r="C51" s="67" t="s">
        <v>1626</v>
      </c>
      <c r="D51" s="68" t="s">
        <v>1627</v>
      </c>
      <c r="E51" s="59">
        <v>0</v>
      </c>
      <c r="F51" s="59">
        <v>0</v>
      </c>
      <c r="G51" s="34">
        <f>IFERROR((F51/E51),0)</f>
        <v>0</v>
      </c>
      <c r="H51" s="1">
        <v>16489</v>
      </c>
      <c r="I51" s="1">
        <v>224902</v>
      </c>
      <c r="J51" s="64">
        <f>IFERROR((I51/H51),0)</f>
        <v>13.63951725392686</v>
      </c>
      <c r="K51" s="90">
        <f>I51-F51</f>
        <v>224902</v>
      </c>
      <c r="L51" s="90">
        <f>(H51-E51)/1000</f>
        <v>16.489000000000001</v>
      </c>
      <c r="M51" s="55" t="s">
        <v>1061</v>
      </c>
      <c r="O51" s="19" t="e">
        <f>K51/F51</f>
        <v>#DIV/0!</v>
      </c>
      <c r="P51" s="19" t="e">
        <f>L51/(E51/1000)</f>
        <v>#DIV/0!</v>
      </c>
      <c r="R51" s="20" t="s">
        <v>1283</v>
      </c>
      <c r="T51">
        <v>0</v>
      </c>
      <c r="U51">
        <v>0</v>
      </c>
      <c r="V51" s="18">
        <f t="shared" si="9"/>
        <v>0</v>
      </c>
      <c r="W51" s="4">
        <f t="shared" si="10"/>
        <v>0</v>
      </c>
      <c r="X51" s="19" t="e">
        <f t="shared" si="11"/>
        <v>#DIV/0!</v>
      </c>
      <c r="Y51" s="37"/>
    </row>
    <row r="52" spans="1:25" x14ac:dyDescent="0.35">
      <c r="A52" t="s">
        <v>404</v>
      </c>
      <c r="B52" s="66" t="s">
        <v>1721</v>
      </c>
      <c r="C52" s="67" t="s">
        <v>1628</v>
      </c>
      <c r="D52" s="68" t="s">
        <v>1629</v>
      </c>
      <c r="E52" s="59">
        <v>0</v>
      </c>
      <c r="F52" s="59">
        <v>0</v>
      </c>
      <c r="G52" s="34">
        <f>IFERROR((F52/E52),0)</f>
        <v>0</v>
      </c>
      <c r="H52" s="1">
        <v>6462</v>
      </c>
      <c r="I52" s="1">
        <v>219821</v>
      </c>
      <c r="J52" s="64">
        <f>IFERROR((I52/H52),0)</f>
        <v>34.017486846177654</v>
      </c>
      <c r="K52" s="90">
        <f>I52-F52</f>
        <v>219821</v>
      </c>
      <c r="L52" s="90">
        <f>(H52-E52)/1000</f>
        <v>6.4619999999999997</v>
      </c>
      <c r="M52" s="55" t="s">
        <v>1061</v>
      </c>
      <c r="O52" s="19" t="e">
        <f>K52/F52</f>
        <v>#DIV/0!</v>
      </c>
      <c r="P52" s="19" t="e">
        <f>L52/(E52/1000)</f>
        <v>#DIV/0!</v>
      </c>
      <c r="R52" s="20" t="s">
        <v>1310</v>
      </c>
      <c r="T52">
        <v>0</v>
      </c>
      <c r="U52">
        <v>1152</v>
      </c>
      <c r="V52" s="18">
        <f t="shared" si="9"/>
        <v>0</v>
      </c>
      <c r="W52" s="4">
        <f t="shared" si="10"/>
        <v>-1152</v>
      </c>
      <c r="X52" s="19" t="e">
        <f t="shared" si="11"/>
        <v>#DIV/0!</v>
      </c>
      <c r="Y52" s="37" t="s">
        <v>1066</v>
      </c>
    </row>
    <row r="53" spans="1:25" x14ac:dyDescent="0.35">
      <c r="A53" t="s">
        <v>479</v>
      </c>
      <c r="B53" s="66" t="s">
        <v>1721</v>
      </c>
      <c r="C53" s="67" t="s">
        <v>1630</v>
      </c>
      <c r="D53" s="68" t="s">
        <v>1631</v>
      </c>
      <c r="E53" s="59">
        <v>0</v>
      </c>
      <c r="F53" s="59">
        <v>0</v>
      </c>
      <c r="G53" s="34">
        <f>IFERROR((F53/E53),0)</f>
        <v>0</v>
      </c>
      <c r="H53" s="1">
        <v>17533</v>
      </c>
      <c r="I53" s="1">
        <v>208528</v>
      </c>
      <c r="J53" s="64">
        <f>IFERROR((I53/H53),0)</f>
        <v>11.89345805053328</v>
      </c>
      <c r="K53" s="90">
        <f>I53-F53</f>
        <v>208528</v>
      </c>
      <c r="L53" s="90">
        <f>(H53-E53)/1000</f>
        <v>17.533000000000001</v>
      </c>
      <c r="M53" s="55" t="s">
        <v>1061</v>
      </c>
      <c r="O53" s="19" t="e">
        <f>K53/F53</f>
        <v>#DIV/0!</v>
      </c>
      <c r="P53" s="19" t="e">
        <f>L53/(E53/1000)</f>
        <v>#DIV/0!</v>
      </c>
      <c r="R53" s="20" t="s">
        <v>1287</v>
      </c>
      <c r="T53">
        <v>3448</v>
      </c>
      <c r="U53">
        <v>41317</v>
      </c>
      <c r="V53" s="18">
        <f t="shared" si="9"/>
        <v>11.982888631090487</v>
      </c>
      <c r="W53" s="4">
        <f t="shared" si="10"/>
        <v>-41317</v>
      </c>
      <c r="X53" s="19" t="e">
        <f t="shared" si="11"/>
        <v>#DIV/0!</v>
      </c>
      <c r="Y53" s="37" t="s">
        <v>1066</v>
      </c>
    </row>
    <row r="54" spans="1:25" x14ac:dyDescent="0.35">
      <c r="A54" t="s">
        <v>885</v>
      </c>
      <c r="B54" s="66" t="s">
        <v>1595</v>
      </c>
      <c r="C54" s="67" t="s">
        <v>1534</v>
      </c>
      <c r="D54" s="68" t="s">
        <v>1586</v>
      </c>
      <c r="E54" s="60">
        <v>10195</v>
      </c>
      <c r="F54" s="60">
        <v>93174.15</v>
      </c>
      <c r="G54" s="34">
        <f>IFERROR((F54/E54),0)</f>
        <v>9.139200588523785</v>
      </c>
      <c r="H54" s="1">
        <v>30316</v>
      </c>
      <c r="I54" s="1">
        <v>299387</v>
      </c>
      <c r="J54" s="64">
        <f>IFERROR((I54/H54),0)</f>
        <v>9.8755442670537015</v>
      </c>
      <c r="K54" s="90">
        <f>I54-F54</f>
        <v>206212.85</v>
      </c>
      <c r="L54" s="90">
        <f>(H54-E54)/1000</f>
        <v>20.120999999999999</v>
      </c>
      <c r="M54" s="55" t="s">
        <v>1061</v>
      </c>
      <c r="O54" s="19">
        <f>K54/F54</f>
        <v>2.213198081227465</v>
      </c>
      <c r="P54" s="19">
        <f>L54/(E54/1000)</f>
        <v>1.9736145169200587</v>
      </c>
      <c r="R54" s="20" t="s">
        <v>1283</v>
      </c>
      <c r="T54">
        <v>0</v>
      </c>
      <c r="U54">
        <v>0</v>
      </c>
      <c r="V54" s="18">
        <f t="shared" si="9"/>
        <v>0</v>
      </c>
      <c r="W54" s="4">
        <f t="shared" si="10"/>
        <v>93174.15</v>
      </c>
      <c r="X54" s="19">
        <f t="shared" si="11"/>
        <v>1</v>
      </c>
      <c r="Y54" s="37"/>
    </row>
    <row r="55" spans="1:25" x14ac:dyDescent="0.35">
      <c r="A55" t="s">
        <v>400</v>
      </c>
      <c r="B55" s="66" t="s">
        <v>1061</v>
      </c>
      <c r="C55" s="67" t="s">
        <v>985</v>
      </c>
      <c r="D55" s="68" t="s">
        <v>1222</v>
      </c>
      <c r="E55" s="60">
        <v>78807</v>
      </c>
      <c r="F55" s="60">
        <v>1030235</v>
      </c>
      <c r="G55" s="34">
        <f>IFERROR((F55/E55),0)</f>
        <v>13.072886926288273</v>
      </c>
      <c r="H55" s="1">
        <v>100589</v>
      </c>
      <c r="I55" s="1">
        <v>1225828</v>
      </c>
      <c r="J55" s="64">
        <f>IFERROR((I55/H55),0)</f>
        <v>12.1865015061289</v>
      </c>
      <c r="K55" s="90">
        <f>I55-F55</f>
        <v>195593</v>
      </c>
      <c r="L55" s="90">
        <f>(H55-E55)/1000</f>
        <v>21.782</v>
      </c>
      <c r="M55" s="55" t="s">
        <v>1061</v>
      </c>
      <c r="O55" s="19">
        <f>K55/F55</f>
        <v>0.18985280057462617</v>
      </c>
      <c r="P55" s="19">
        <f>L55/(E55/1000)</f>
        <v>0.27639676678467651</v>
      </c>
      <c r="R55" s="20" t="s">
        <v>1285</v>
      </c>
      <c r="T55">
        <v>0</v>
      </c>
      <c r="U55">
        <v>0</v>
      </c>
      <c r="V55" s="18">
        <f t="shared" si="9"/>
        <v>0</v>
      </c>
      <c r="W55" s="4">
        <f t="shared" si="10"/>
        <v>1030235</v>
      </c>
      <c r="X55" s="19">
        <f t="shared" si="11"/>
        <v>1</v>
      </c>
      <c r="Y55" s="37"/>
    </row>
    <row r="56" spans="1:25" x14ac:dyDescent="0.35">
      <c r="A56" t="s">
        <v>1410</v>
      </c>
      <c r="B56" s="66" t="s">
        <v>1394</v>
      </c>
      <c r="C56" s="67" t="s">
        <v>1423</v>
      </c>
      <c r="D56" s="68" t="s">
        <v>1351</v>
      </c>
      <c r="E56" s="59">
        <v>20863</v>
      </c>
      <c r="F56" s="59">
        <v>272760.90000000002</v>
      </c>
      <c r="G56" s="34">
        <f>IFERROR((F56/E56),0)</f>
        <v>13.07390595791593</v>
      </c>
      <c r="H56" s="1">
        <v>37443</v>
      </c>
      <c r="I56" s="1">
        <v>465620</v>
      </c>
      <c r="J56" s="64">
        <f>IFERROR((I56/H56),0)</f>
        <v>12.435435194829473</v>
      </c>
      <c r="K56" s="90">
        <f>I56-F56</f>
        <v>192859.09999999998</v>
      </c>
      <c r="L56" s="90">
        <f>(H56-E56)/1000</f>
        <v>16.579999999999998</v>
      </c>
      <c r="M56" s="55" t="s">
        <v>1061</v>
      </c>
      <c r="O56" s="19">
        <f>K56/F56</f>
        <v>0.707062852483622</v>
      </c>
      <c r="P56" s="19">
        <f>L56/(E56/1000)</f>
        <v>0.79470833533048935</v>
      </c>
      <c r="R56" s="20" t="s">
        <v>1282</v>
      </c>
      <c r="W56" s="61"/>
      <c r="Y56" s="55"/>
    </row>
    <row r="57" spans="1:25" x14ac:dyDescent="0.35">
      <c r="A57" t="s">
        <v>1102</v>
      </c>
      <c r="B57" s="66" t="s">
        <v>1219</v>
      </c>
      <c r="C57" s="67" t="s">
        <v>1134</v>
      </c>
      <c r="D57" s="68" t="s">
        <v>1190</v>
      </c>
      <c r="E57" s="60">
        <v>309</v>
      </c>
      <c r="F57" s="60">
        <v>10124.18</v>
      </c>
      <c r="G57" s="34">
        <f>IFERROR((F57/E57),0)</f>
        <v>32.764336569579292</v>
      </c>
      <c r="H57" s="1">
        <v>12585</v>
      </c>
      <c r="I57" s="1">
        <v>201291</v>
      </c>
      <c r="J57" s="64">
        <f>IFERROR((I57/H57),0)</f>
        <v>15.994517282479142</v>
      </c>
      <c r="K57" s="90">
        <f>I57-F57</f>
        <v>191166.82</v>
      </c>
      <c r="L57" s="90">
        <f>(H57-E57)/1000</f>
        <v>12.276</v>
      </c>
      <c r="M57" s="55" t="s">
        <v>1061</v>
      </c>
      <c r="O57" s="19">
        <f>K57/F57</f>
        <v>18.882202805560549</v>
      </c>
      <c r="P57" s="19">
        <f>L57/(E57/1000)</f>
        <v>39.728155339805824</v>
      </c>
      <c r="R57" s="20" t="s">
        <v>1300</v>
      </c>
      <c r="T57">
        <v>46852</v>
      </c>
      <c r="U57">
        <v>442907</v>
      </c>
      <c r="V57" s="18">
        <f t="shared" ref="V57:V67" si="12">IFERROR((U57/T57),0)</f>
        <v>9.4533210962178771</v>
      </c>
      <c r="W57" s="4">
        <f t="shared" ref="W57:W67" si="13">F57-U57</f>
        <v>-432782.82</v>
      </c>
      <c r="X57" s="19">
        <f t="shared" ref="X57:X67" si="14">W57/F57</f>
        <v>-42.747444237459234</v>
      </c>
      <c r="Y57" s="37"/>
    </row>
    <row r="58" spans="1:25" x14ac:dyDescent="0.35">
      <c r="A58" t="s">
        <v>1124</v>
      </c>
      <c r="B58" s="66" t="s">
        <v>832</v>
      </c>
      <c r="C58" s="67" t="s">
        <v>437</v>
      </c>
      <c r="D58" s="68" t="s">
        <v>181</v>
      </c>
      <c r="E58" s="59">
        <v>49315</v>
      </c>
      <c r="F58" s="60">
        <v>738320.2</v>
      </c>
      <c r="G58" s="34">
        <f>IFERROR((F58/E58),0)</f>
        <v>14.971513738213524</v>
      </c>
      <c r="H58" s="1">
        <v>62713</v>
      </c>
      <c r="I58" s="1">
        <v>924968</v>
      </c>
      <c r="J58" s="64">
        <f>IFERROR((I58/H58),0)</f>
        <v>14.749222649211488</v>
      </c>
      <c r="K58" s="90">
        <f>I58-F58</f>
        <v>186647.80000000005</v>
      </c>
      <c r="L58" s="90">
        <f>(H58-E58)/1000</f>
        <v>13.398</v>
      </c>
      <c r="M58" s="55" t="s">
        <v>1061</v>
      </c>
      <c r="O58" s="19">
        <f>K58/F58</f>
        <v>0.25280061415087934</v>
      </c>
      <c r="P58" s="19">
        <f>L58/(E58/1000)</f>
        <v>0.27168204400283891</v>
      </c>
      <c r="R58" s="20" t="s">
        <v>1281</v>
      </c>
      <c r="T58">
        <v>35</v>
      </c>
      <c r="U58">
        <v>1223</v>
      </c>
      <c r="V58" s="18">
        <f t="shared" si="12"/>
        <v>34.942857142857143</v>
      </c>
      <c r="W58" s="4">
        <f t="shared" si="13"/>
        <v>737097.2</v>
      </c>
      <c r="X58" s="19">
        <f t="shared" si="14"/>
        <v>0.99834353712657464</v>
      </c>
      <c r="Y58" s="37"/>
    </row>
    <row r="59" spans="1:25" x14ac:dyDescent="0.35">
      <c r="A59" t="s">
        <v>1490</v>
      </c>
      <c r="B59" s="66" t="s">
        <v>821</v>
      </c>
      <c r="C59" s="67" t="s">
        <v>637</v>
      </c>
      <c r="D59" s="68" t="s">
        <v>149</v>
      </c>
      <c r="E59" s="60">
        <v>12208</v>
      </c>
      <c r="F59" s="60">
        <v>147140.29999999999</v>
      </c>
      <c r="G59" s="34">
        <f>IFERROR((F59/E59),0)</f>
        <v>12.052776867627784</v>
      </c>
      <c r="H59" s="1">
        <v>25638</v>
      </c>
      <c r="I59" s="1">
        <v>333511</v>
      </c>
      <c r="J59" s="64">
        <f>IFERROR((I59/H59),0)</f>
        <v>13.008463998751854</v>
      </c>
      <c r="K59" s="90">
        <f>I59-F59</f>
        <v>186370.7</v>
      </c>
      <c r="L59" s="90">
        <f>(H59-E59)/1000</f>
        <v>13.43</v>
      </c>
      <c r="M59" s="55" t="s">
        <v>1061</v>
      </c>
      <c r="O59" s="19">
        <f>K59/F59</f>
        <v>1.266619002407906</v>
      </c>
      <c r="P59" s="19">
        <f>L59/(E59/1000)</f>
        <v>1.1000982961992136</v>
      </c>
      <c r="R59" s="20" t="s">
        <v>1601</v>
      </c>
      <c r="T59">
        <v>8899</v>
      </c>
      <c r="U59">
        <v>91446</v>
      </c>
      <c r="V59" s="18">
        <f t="shared" si="12"/>
        <v>10.275986065850095</v>
      </c>
      <c r="W59" s="4">
        <f t="shared" si="13"/>
        <v>55694.299999999988</v>
      </c>
      <c r="X59" s="19">
        <f t="shared" si="14"/>
        <v>0.37851152947221117</v>
      </c>
      <c r="Y59" s="37"/>
    </row>
    <row r="60" spans="1:25" x14ac:dyDescent="0.35">
      <c r="A60" t="s">
        <v>545</v>
      </c>
      <c r="B60" s="66" t="s">
        <v>1595</v>
      </c>
      <c r="C60" s="67" t="s">
        <v>1523</v>
      </c>
      <c r="D60" s="68" t="s">
        <v>1574</v>
      </c>
      <c r="E60" s="60">
        <v>9898</v>
      </c>
      <c r="F60" s="60">
        <v>105164.6</v>
      </c>
      <c r="G60" s="34">
        <f>IFERROR((F60/E60),0)</f>
        <v>10.624833299656498</v>
      </c>
      <c r="H60" s="1">
        <v>27363</v>
      </c>
      <c r="I60" s="1">
        <v>291209</v>
      </c>
      <c r="J60" s="64">
        <f>IFERROR((I60/H60),0)</f>
        <v>10.642436867302562</v>
      </c>
      <c r="K60" s="90">
        <f>I60-F60</f>
        <v>186044.4</v>
      </c>
      <c r="L60" s="90">
        <f>(H60-E60)/1000</f>
        <v>17.465</v>
      </c>
      <c r="M60" s="55" t="s">
        <v>1061</v>
      </c>
      <c r="O60" s="19">
        <f>K60/F60</f>
        <v>1.7690781879073374</v>
      </c>
      <c r="P60" s="19">
        <f>L60/(E60/1000)</f>
        <v>1.7644978783592646</v>
      </c>
      <c r="R60" s="20" t="s">
        <v>1288</v>
      </c>
      <c r="T60">
        <v>1254</v>
      </c>
      <c r="U60">
        <v>19898</v>
      </c>
      <c r="V60" s="18">
        <f t="shared" si="12"/>
        <v>15.86762360446571</v>
      </c>
      <c r="W60" s="4">
        <f t="shared" si="13"/>
        <v>85266.6</v>
      </c>
      <c r="X60" s="19">
        <f t="shared" si="14"/>
        <v>0.81079184440391538</v>
      </c>
      <c r="Y60" s="37"/>
    </row>
    <row r="61" spans="1:25" x14ac:dyDescent="0.35">
      <c r="A61" t="s">
        <v>565</v>
      </c>
      <c r="B61" s="66" t="s">
        <v>1597</v>
      </c>
      <c r="C61" s="67" t="s">
        <v>1509</v>
      </c>
      <c r="D61" s="68" t="s">
        <v>316</v>
      </c>
      <c r="E61" s="60">
        <v>11516</v>
      </c>
      <c r="F61" s="60">
        <v>143563.4</v>
      </c>
      <c r="G61" s="34">
        <f>IFERROR((F61/E61),0)</f>
        <v>12.466429315734629</v>
      </c>
      <c r="H61" s="1">
        <v>25714</v>
      </c>
      <c r="I61" s="1">
        <v>327659</v>
      </c>
      <c r="J61" s="64">
        <f>IFERROR((I61/H61),0)</f>
        <v>12.742436027066967</v>
      </c>
      <c r="K61" s="90">
        <f>I61-F61</f>
        <v>184095.6</v>
      </c>
      <c r="L61" s="90">
        <f>(H61-E61)/1000</f>
        <v>14.198</v>
      </c>
      <c r="M61" s="55" t="s">
        <v>1061</v>
      </c>
      <c r="O61" s="19">
        <f>K61/F61</f>
        <v>1.2823296188304263</v>
      </c>
      <c r="P61" s="19">
        <f>L61/(E61/1000)</f>
        <v>1.2328933657519972</v>
      </c>
      <c r="R61" s="20" t="s">
        <v>1303</v>
      </c>
      <c r="T61">
        <v>11638</v>
      </c>
      <c r="U61">
        <v>118201</v>
      </c>
      <c r="V61" s="18">
        <f t="shared" si="12"/>
        <v>10.156470183880392</v>
      </c>
      <c r="W61" s="4">
        <f t="shared" si="13"/>
        <v>25362.399999999994</v>
      </c>
      <c r="X61" s="19">
        <f t="shared" si="14"/>
        <v>0.1766634114265892</v>
      </c>
      <c r="Y61" s="37" t="s">
        <v>1277</v>
      </c>
    </row>
    <row r="62" spans="1:25" x14ac:dyDescent="0.35">
      <c r="A62" t="s">
        <v>696</v>
      </c>
      <c r="B62" s="66" t="s">
        <v>1061</v>
      </c>
      <c r="C62" s="67" t="s">
        <v>416</v>
      </c>
      <c r="D62" s="68" t="s">
        <v>17</v>
      </c>
      <c r="E62" s="60">
        <v>0</v>
      </c>
      <c r="F62" s="60">
        <v>0</v>
      </c>
      <c r="G62" s="34">
        <f>IFERROR((F62/E62),0)</f>
        <v>0</v>
      </c>
      <c r="H62" s="1">
        <v>9166</v>
      </c>
      <c r="I62" s="1">
        <v>179877</v>
      </c>
      <c r="J62" s="64">
        <f>IFERROR((I62/H62),0)</f>
        <v>19.624372681649575</v>
      </c>
      <c r="K62" s="90">
        <f>I62-F62</f>
        <v>179877</v>
      </c>
      <c r="L62" s="90">
        <f>(H62-E62)/1000</f>
        <v>9.1660000000000004</v>
      </c>
      <c r="M62" s="55" t="s">
        <v>1061</v>
      </c>
      <c r="O62" s="19" t="e">
        <f>K62/F62</f>
        <v>#DIV/0!</v>
      </c>
      <c r="P62" s="19" t="e">
        <f>L62/(E62/1000)</f>
        <v>#DIV/0!</v>
      </c>
      <c r="R62" s="20" t="s">
        <v>1291</v>
      </c>
      <c r="T62">
        <v>0</v>
      </c>
      <c r="U62">
        <v>0</v>
      </c>
      <c r="V62" s="18">
        <f t="shared" si="12"/>
        <v>0</v>
      </c>
      <c r="W62" s="4">
        <f t="shared" si="13"/>
        <v>0</v>
      </c>
      <c r="X62" s="19" t="e">
        <f t="shared" si="14"/>
        <v>#DIV/0!</v>
      </c>
      <c r="Y62" s="37"/>
    </row>
    <row r="63" spans="1:25" x14ac:dyDescent="0.35">
      <c r="A63" t="s">
        <v>653</v>
      </c>
      <c r="B63" s="66" t="s">
        <v>1219</v>
      </c>
      <c r="C63" s="67" t="s">
        <v>1115</v>
      </c>
      <c r="D63" s="68" t="s">
        <v>255</v>
      </c>
      <c r="E63" s="60">
        <v>47792</v>
      </c>
      <c r="F63" s="60">
        <v>707486</v>
      </c>
      <c r="G63" s="34">
        <f>IFERROR((F63/E63),0)</f>
        <v>14.803439906260461</v>
      </c>
      <c r="H63" s="1">
        <v>58426</v>
      </c>
      <c r="I63" s="1">
        <v>884880</v>
      </c>
      <c r="J63" s="64">
        <f>IFERROR((I63/H63),0)</f>
        <v>15.145312018621846</v>
      </c>
      <c r="K63" s="90">
        <f>I63-F63</f>
        <v>177394</v>
      </c>
      <c r="L63" s="90">
        <f>(H63-E63)/1000</f>
        <v>10.634</v>
      </c>
      <c r="M63" s="55" t="s">
        <v>1061</v>
      </c>
      <c r="O63" s="19">
        <f>K63/F63</f>
        <v>0.25073853051509148</v>
      </c>
      <c r="P63" s="19">
        <f>L63/(E63/1000)</f>
        <v>0.22250585872112488</v>
      </c>
      <c r="R63" s="20" t="s">
        <v>1282</v>
      </c>
      <c r="T63">
        <v>0</v>
      </c>
      <c r="U63">
        <v>0</v>
      </c>
      <c r="V63" s="18">
        <f t="shared" si="12"/>
        <v>0</v>
      </c>
      <c r="W63" s="4">
        <f t="shared" si="13"/>
        <v>707486</v>
      </c>
      <c r="X63" s="19">
        <f t="shared" si="14"/>
        <v>1</v>
      </c>
      <c r="Y63" s="37"/>
    </row>
    <row r="64" spans="1:25" x14ac:dyDescent="0.35">
      <c r="A64" t="s">
        <v>1104</v>
      </c>
      <c r="B64" s="66" t="s">
        <v>1225</v>
      </c>
      <c r="C64" s="67" t="s">
        <v>565</v>
      </c>
      <c r="D64" s="68" t="s">
        <v>1231</v>
      </c>
      <c r="E64" s="60">
        <v>18477</v>
      </c>
      <c r="F64" s="60">
        <v>301441.3</v>
      </c>
      <c r="G64" s="34">
        <f>IFERROR((F64/E64),0)</f>
        <v>16.314407100719812</v>
      </c>
      <c r="H64" s="1">
        <v>31762</v>
      </c>
      <c r="I64" s="1">
        <v>467811</v>
      </c>
      <c r="J64" s="64">
        <f>IFERROR((I64/H64),0)</f>
        <v>14.728637995088471</v>
      </c>
      <c r="K64" s="90">
        <f>I64-F64</f>
        <v>166369.70000000001</v>
      </c>
      <c r="L64" s="90">
        <f>(H64-E64)/1000</f>
        <v>13.285</v>
      </c>
      <c r="M64" s="55" t="s">
        <v>1061</v>
      </c>
      <c r="O64" s="19">
        <f>K64/F64</f>
        <v>0.55191408741934178</v>
      </c>
      <c r="P64" s="19">
        <f>L64/(E64/1000)</f>
        <v>0.71900200248958168</v>
      </c>
      <c r="R64" s="20" t="s">
        <v>1298</v>
      </c>
      <c r="T64">
        <v>2479</v>
      </c>
      <c r="U64">
        <v>33435</v>
      </c>
      <c r="V64" s="18">
        <f t="shared" si="12"/>
        <v>13.487293263412667</v>
      </c>
      <c r="W64" s="4">
        <f t="shared" si="13"/>
        <v>268006.3</v>
      </c>
      <c r="X64" s="19">
        <f t="shared" si="14"/>
        <v>0.88908288280338499</v>
      </c>
      <c r="Y64" s="37" t="s">
        <v>1277</v>
      </c>
    </row>
    <row r="65" spans="1:25" x14ac:dyDescent="0.35">
      <c r="A65" t="s">
        <v>1414</v>
      </c>
      <c r="B65" s="66" t="s">
        <v>1595</v>
      </c>
      <c r="C65" s="67" t="s">
        <v>1510</v>
      </c>
      <c r="D65" s="68" t="s">
        <v>1561</v>
      </c>
      <c r="E65" s="60">
        <v>25217</v>
      </c>
      <c r="F65" s="60">
        <v>314312.8</v>
      </c>
      <c r="G65" s="34">
        <f>IFERROR((F65/E65),0)</f>
        <v>12.464321687750326</v>
      </c>
      <c r="H65" s="1">
        <v>37667</v>
      </c>
      <c r="I65" s="1">
        <v>479958</v>
      </c>
      <c r="J65" s="64">
        <f>IFERROR((I65/H65),0)</f>
        <v>12.742135025353758</v>
      </c>
      <c r="K65" s="90">
        <f>I65-F65</f>
        <v>165645.20000000001</v>
      </c>
      <c r="L65" s="90">
        <f>(H65-E65)/1000</f>
        <v>12.45</v>
      </c>
      <c r="M65" s="55" t="s">
        <v>1061</v>
      </c>
      <c r="O65" s="19">
        <f>K65/F65</f>
        <v>0.52700749062717145</v>
      </c>
      <c r="P65" s="19">
        <f>L65/(E65/1000)</f>
        <v>0.49371455763968752</v>
      </c>
      <c r="R65" s="20" t="s">
        <v>1307</v>
      </c>
      <c r="T65">
        <v>779</v>
      </c>
      <c r="U65">
        <v>7641</v>
      </c>
      <c r="V65" s="18">
        <f t="shared" si="12"/>
        <v>9.8087291399229777</v>
      </c>
      <c r="W65" s="4">
        <f t="shared" si="13"/>
        <v>306671.8</v>
      </c>
      <c r="X65" s="19">
        <f t="shared" si="14"/>
        <v>0.97568982236803592</v>
      </c>
      <c r="Y65" s="37"/>
    </row>
    <row r="66" spans="1:25" x14ac:dyDescent="0.35">
      <c r="A66" t="s">
        <v>748</v>
      </c>
      <c r="B66" s="66" t="s">
        <v>1595</v>
      </c>
      <c r="C66" s="67" t="s">
        <v>1498</v>
      </c>
      <c r="D66" s="68" t="s">
        <v>1549</v>
      </c>
      <c r="E66" s="60">
        <v>4062.0000000000005</v>
      </c>
      <c r="F66" s="60">
        <v>65853.899999999994</v>
      </c>
      <c r="G66" s="34">
        <f>IFERROR((F66/E66),0)</f>
        <v>16.212186115214177</v>
      </c>
      <c r="H66" s="1">
        <v>12993</v>
      </c>
      <c r="I66" s="1">
        <v>229525</v>
      </c>
      <c r="J66" s="64">
        <f>IFERROR((I66/H66),0)</f>
        <v>17.665281305318249</v>
      </c>
      <c r="K66" s="90">
        <f>I66-F66</f>
        <v>163671.1</v>
      </c>
      <c r="L66" s="90">
        <f>(H66-E66)/1000</f>
        <v>8.9309999999999992</v>
      </c>
      <c r="M66" s="55" t="s">
        <v>1061</v>
      </c>
      <c r="O66" s="19">
        <f>K66/F66</f>
        <v>2.4853668499511801</v>
      </c>
      <c r="P66" s="19">
        <f>L66/(E66/1000)</f>
        <v>2.1986706056129983</v>
      </c>
      <c r="R66" s="20" t="s">
        <v>1297</v>
      </c>
      <c r="T66">
        <v>0</v>
      </c>
      <c r="U66">
        <v>0</v>
      </c>
      <c r="V66" s="18">
        <f t="shared" si="12"/>
        <v>0</v>
      </c>
      <c r="W66" s="4">
        <f t="shared" si="13"/>
        <v>65853.899999999994</v>
      </c>
      <c r="X66" s="19">
        <f t="shared" si="14"/>
        <v>1</v>
      </c>
      <c r="Y66" s="37"/>
    </row>
    <row r="67" spans="1:25" x14ac:dyDescent="0.35">
      <c r="A67" t="s">
        <v>889</v>
      </c>
      <c r="B67" s="66" t="s">
        <v>1394</v>
      </c>
      <c r="C67" s="67" t="s">
        <v>1401</v>
      </c>
      <c r="D67" s="68" t="s">
        <v>1339</v>
      </c>
      <c r="E67" s="60">
        <v>27195</v>
      </c>
      <c r="F67" s="60">
        <v>438514</v>
      </c>
      <c r="G67" s="34">
        <f>IFERROR((F67/E67),0)</f>
        <v>16.124802353373781</v>
      </c>
      <c r="H67" s="1">
        <v>47545</v>
      </c>
      <c r="I67" s="1">
        <v>594150</v>
      </c>
      <c r="J67" s="64">
        <f>IFERROR((I67/H67),0)</f>
        <v>12.496582185298138</v>
      </c>
      <c r="K67" s="90">
        <f>I67-F67</f>
        <v>155636</v>
      </c>
      <c r="L67" s="90">
        <f>(H67-E67)/1000</f>
        <v>20.350000000000001</v>
      </c>
      <c r="M67" s="55" t="s">
        <v>1061</v>
      </c>
      <c r="O67" s="19">
        <f>K67/F67</f>
        <v>0.35491683275790509</v>
      </c>
      <c r="P67" s="19">
        <f>L67/(E67/1000)</f>
        <v>0.74829931972789121</v>
      </c>
      <c r="R67" s="20" t="s">
        <v>1297</v>
      </c>
      <c r="T67">
        <v>0</v>
      </c>
      <c r="U67">
        <v>0</v>
      </c>
      <c r="V67" s="18">
        <f t="shared" si="12"/>
        <v>0</v>
      </c>
      <c r="W67" s="4">
        <f t="shared" si="13"/>
        <v>438514</v>
      </c>
      <c r="X67" s="19">
        <f t="shared" si="14"/>
        <v>1</v>
      </c>
      <c r="Y67" s="37"/>
    </row>
    <row r="68" spans="1:25" x14ac:dyDescent="0.35">
      <c r="A68" t="s">
        <v>749</v>
      </c>
      <c r="B68" s="66" t="s">
        <v>1721</v>
      </c>
      <c r="C68" s="67" t="s">
        <v>1632</v>
      </c>
      <c r="D68" s="68" t="s">
        <v>1633</v>
      </c>
      <c r="E68" s="59">
        <v>0</v>
      </c>
      <c r="F68" s="59">
        <v>0</v>
      </c>
      <c r="G68" s="34">
        <f>IFERROR((F68/E68),0)</f>
        <v>0</v>
      </c>
      <c r="H68" s="1">
        <v>15095</v>
      </c>
      <c r="I68" s="1">
        <v>151869</v>
      </c>
      <c r="J68" s="64">
        <f>IFERROR((I68/H68),0)</f>
        <v>10.060881086452468</v>
      </c>
      <c r="K68" s="90">
        <f>I68-F68</f>
        <v>151869</v>
      </c>
      <c r="L68" s="90">
        <f>(H68-E68)/1000</f>
        <v>15.095000000000001</v>
      </c>
      <c r="M68" s="55" t="s">
        <v>1061</v>
      </c>
      <c r="O68" s="19" t="e">
        <f>K68/F68</f>
        <v>#DIV/0!</v>
      </c>
      <c r="P68" s="19" t="e">
        <f>L68/(E68/1000)</f>
        <v>#DIV/0!</v>
      </c>
      <c r="R68" s="20" t="s">
        <v>1287</v>
      </c>
      <c r="W68" s="61"/>
      <c r="Y68" s="55"/>
    </row>
    <row r="69" spans="1:25" x14ac:dyDescent="0.35">
      <c r="A69" t="s">
        <v>1004</v>
      </c>
      <c r="B69" s="66" t="s">
        <v>1219</v>
      </c>
      <c r="C69" s="67" t="s">
        <v>1140</v>
      </c>
      <c r="D69" s="68" t="s">
        <v>1171</v>
      </c>
      <c r="E69" s="60">
        <v>5426</v>
      </c>
      <c r="F69" s="60">
        <v>48723.39</v>
      </c>
      <c r="G69" s="34">
        <f>IFERROR((F69/E69),0)</f>
        <v>8.9796148175451531</v>
      </c>
      <c r="H69" s="1">
        <v>16419</v>
      </c>
      <c r="I69" s="1">
        <v>200302</v>
      </c>
      <c r="J69" s="64">
        <f>IFERROR((I69/H69),0)</f>
        <v>12.199403130519521</v>
      </c>
      <c r="K69" s="90">
        <f>I69-F69</f>
        <v>151578.60999999999</v>
      </c>
      <c r="L69" s="90">
        <f>(H69-E69)/1000</f>
        <v>10.993</v>
      </c>
      <c r="M69" s="55" t="s">
        <v>1061</v>
      </c>
      <c r="O69" s="19">
        <f>K69/F69</f>
        <v>3.1110029495074127</v>
      </c>
      <c r="P69" s="19">
        <f>L69/(E69/1000)</f>
        <v>2.0259859933652784</v>
      </c>
      <c r="R69" s="20" t="s">
        <v>1303</v>
      </c>
      <c r="T69">
        <v>0</v>
      </c>
      <c r="U69">
        <v>0</v>
      </c>
      <c r="V69" s="18">
        <f>IFERROR((U69/T69),0)</f>
        <v>0</v>
      </c>
      <c r="W69" s="4">
        <f>F69-U69</f>
        <v>48723.39</v>
      </c>
      <c r="X69" s="19">
        <f>W69/F69</f>
        <v>1</v>
      </c>
      <c r="Y69" s="37"/>
    </row>
    <row r="70" spans="1:25" x14ac:dyDescent="0.35">
      <c r="A70" t="s">
        <v>427</v>
      </c>
      <c r="B70" s="66" t="s">
        <v>1595</v>
      </c>
      <c r="C70" s="67" t="s">
        <v>1522</v>
      </c>
      <c r="D70" s="68" t="s">
        <v>1573</v>
      </c>
      <c r="E70" s="60">
        <v>9350</v>
      </c>
      <c r="F70" s="60">
        <v>101273.60000000001</v>
      </c>
      <c r="G70" s="34">
        <f>IFERROR((F70/E70),0)</f>
        <v>10.831401069518718</v>
      </c>
      <c r="H70" s="1">
        <v>24616</v>
      </c>
      <c r="I70" s="1">
        <v>252446</v>
      </c>
      <c r="J70" s="64">
        <f>IFERROR((I70/H70),0)</f>
        <v>10.255362365940851</v>
      </c>
      <c r="K70" s="90">
        <f>I70-F70</f>
        <v>151172.4</v>
      </c>
      <c r="L70" s="90">
        <f>(H70-E70)/1000</f>
        <v>15.266</v>
      </c>
      <c r="M70" s="55" t="s">
        <v>1061</v>
      </c>
      <c r="O70" s="19">
        <f>K70/F70</f>
        <v>1.4927128096562183</v>
      </c>
      <c r="P70" s="19">
        <f>L70/(E70/1000)</f>
        <v>1.6327272727272728</v>
      </c>
      <c r="R70" s="20" t="s">
        <v>1302</v>
      </c>
      <c r="W70" s="61"/>
      <c r="Y70" s="55"/>
    </row>
    <row r="71" spans="1:25" x14ac:dyDescent="0.35">
      <c r="A71" t="s">
        <v>607</v>
      </c>
      <c r="B71" s="66" t="s">
        <v>976</v>
      </c>
      <c r="C71" s="67" t="s">
        <v>910</v>
      </c>
      <c r="D71" s="68" t="s">
        <v>911</v>
      </c>
      <c r="E71" s="59">
        <v>32915</v>
      </c>
      <c r="F71" s="59">
        <v>322877.8</v>
      </c>
      <c r="G71" s="34">
        <f>IFERROR((F71/E71),0)</f>
        <v>9.8094425034178947</v>
      </c>
      <c r="H71" s="1">
        <v>46618</v>
      </c>
      <c r="I71" s="1">
        <v>473577</v>
      </c>
      <c r="J71" s="64">
        <f>IFERROR((I71/H71),0)</f>
        <v>10.158672615727831</v>
      </c>
      <c r="K71" s="90">
        <f>I71-F71</f>
        <v>150699.20000000001</v>
      </c>
      <c r="L71" s="90">
        <f>(H71-E71)/1000</f>
        <v>13.702999999999999</v>
      </c>
      <c r="M71" s="55" t="s">
        <v>1061</v>
      </c>
      <c r="O71" s="19">
        <f>K71/F71</f>
        <v>0.46673757068463678</v>
      </c>
      <c r="P71" s="19">
        <f>L71/(E71/1000)</f>
        <v>0.41631475011392982</v>
      </c>
      <c r="R71" s="20" t="s">
        <v>1301</v>
      </c>
      <c r="W71" s="61"/>
      <c r="Y71" s="55"/>
    </row>
    <row r="72" spans="1:25" x14ac:dyDescent="0.35">
      <c r="A72" t="s">
        <v>656</v>
      </c>
      <c r="B72" s="66" t="s">
        <v>1721</v>
      </c>
      <c r="C72" s="67" t="s">
        <v>1634</v>
      </c>
      <c r="D72" s="68" t="s">
        <v>1635</v>
      </c>
      <c r="E72" s="59">
        <v>0</v>
      </c>
      <c r="F72" s="59">
        <v>0</v>
      </c>
      <c r="G72" s="34">
        <f>IFERROR((F72/E72),0)</f>
        <v>0</v>
      </c>
      <c r="H72" s="1">
        <v>12858</v>
      </c>
      <c r="I72" s="1">
        <v>149990</v>
      </c>
      <c r="J72" s="64">
        <f>IFERROR((I72/H72),0)</f>
        <v>11.665111214807901</v>
      </c>
      <c r="K72" s="90">
        <f>I72-F72</f>
        <v>149990</v>
      </c>
      <c r="L72" s="90">
        <f>(H72-E72)/1000</f>
        <v>12.858000000000001</v>
      </c>
      <c r="M72" s="55" t="s">
        <v>1061</v>
      </c>
      <c r="O72" s="19" t="e">
        <f>K72/F72</f>
        <v>#DIV/0!</v>
      </c>
      <c r="P72" s="19" t="e">
        <f>L72/(E72/1000)</f>
        <v>#DIV/0!</v>
      </c>
      <c r="R72" s="20" t="s">
        <v>1312</v>
      </c>
      <c r="W72" s="61"/>
      <c r="Y72" s="55"/>
    </row>
    <row r="73" spans="1:25" x14ac:dyDescent="0.35">
      <c r="A73" t="s">
        <v>1149</v>
      </c>
      <c r="B73" s="66" t="s">
        <v>1225</v>
      </c>
      <c r="C73" s="67" t="s">
        <v>584</v>
      </c>
      <c r="D73" s="68" t="s">
        <v>77</v>
      </c>
      <c r="E73" s="60">
        <v>9229</v>
      </c>
      <c r="F73" s="60">
        <v>145321.29999999999</v>
      </c>
      <c r="G73" s="34">
        <f>IFERROR((F73/E73),0)</f>
        <v>15.746158847112362</v>
      </c>
      <c r="H73" s="1">
        <v>17500</v>
      </c>
      <c r="I73" s="1">
        <v>287722</v>
      </c>
      <c r="J73" s="64">
        <f>IFERROR((I73/H73),0)</f>
        <v>16.441257142857143</v>
      </c>
      <c r="K73" s="90">
        <f>I73-F73</f>
        <v>142400.70000000001</v>
      </c>
      <c r="L73" s="90">
        <f>(H73-E73)/1000</f>
        <v>8.2710000000000008</v>
      </c>
      <c r="M73" s="55" t="s">
        <v>1061</v>
      </c>
      <c r="O73" s="19">
        <f>K73/F73</f>
        <v>0.9799024644012958</v>
      </c>
      <c r="P73" s="19">
        <f>L73/(E73/1000)</f>
        <v>0.89619677104778428</v>
      </c>
      <c r="R73" s="20" t="s">
        <v>1601</v>
      </c>
      <c r="T73">
        <v>0</v>
      </c>
      <c r="U73">
        <v>364</v>
      </c>
      <c r="V73" s="18">
        <f>IFERROR((U73/T73),0)</f>
        <v>0</v>
      </c>
      <c r="W73" s="4">
        <f>F73-U73</f>
        <v>144957.29999999999</v>
      </c>
      <c r="X73" s="19">
        <f>W73/F73</f>
        <v>0.99749520545164405</v>
      </c>
      <c r="Y73" s="37" t="s">
        <v>1066</v>
      </c>
    </row>
    <row r="74" spans="1:25" x14ac:dyDescent="0.35">
      <c r="A74" t="s">
        <v>670</v>
      </c>
      <c r="B74" s="66" t="s">
        <v>1595</v>
      </c>
      <c r="C74" s="67" t="s">
        <v>1513</v>
      </c>
      <c r="D74" s="68" t="s">
        <v>1564</v>
      </c>
      <c r="E74" s="60">
        <v>13568</v>
      </c>
      <c r="F74" s="60">
        <v>162311.5</v>
      </c>
      <c r="G74" s="34">
        <f>IFERROR((F74/E74),0)</f>
        <v>11.962816922169811</v>
      </c>
      <c r="H74" s="1">
        <v>26658</v>
      </c>
      <c r="I74" s="1">
        <v>303529</v>
      </c>
      <c r="J74" s="64">
        <f>IFERROR((I74/H74),0)</f>
        <v>11.38603796233776</v>
      </c>
      <c r="K74" s="90">
        <f>I74-F74</f>
        <v>141217.5</v>
      </c>
      <c r="L74" s="90">
        <f>(H74-E74)/1000</f>
        <v>13.09</v>
      </c>
      <c r="M74" s="55" t="s">
        <v>1061</v>
      </c>
      <c r="O74" s="19">
        <f>K74/F74</f>
        <v>0.87004001564892197</v>
      </c>
      <c r="P74" s="19">
        <f>L74/(E74/1000)</f>
        <v>0.9647700471698113</v>
      </c>
      <c r="R74" s="20" t="s">
        <v>1300</v>
      </c>
      <c r="W74" s="61"/>
      <c r="Y74" s="55"/>
    </row>
    <row r="75" spans="1:25" x14ac:dyDescent="0.35">
      <c r="A75" t="s">
        <v>608</v>
      </c>
      <c r="B75" s="66" t="s">
        <v>1721</v>
      </c>
      <c r="C75" s="67" t="s">
        <v>1636</v>
      </c>
      <c r="D75" s="68" t="s">
        <v>1637</v>
      </c>
      <c r="E75" s="59">
        <v>0</v>
      </c>
      <c r="F75" s="59">
        <v>0</v>
      </c>
      <c r="G75" s="34">
        <f>IFERROR((F75/E75),0)</f>
        <v>0</v>
      </c>
      <c r="H75" s="1">
        <v>14211</v>
      </c>
      <c r="I75" s="1">
        <v>136955</v>
      </c>
      <c r="J75" s="64">
        <f>IFERROR((I75/H75),0)</f>
        <v>9.6372528323129973</v>
      </c>
      <c r="K75" s="90">
        <f>I75-F75</f>
        <v>136955</v>
      </c>
      <c r="L75" s="90">
        <f>(H75-E75)/1000</f>
        <v>14.211</v>
      </c>
      <c r="M75" s="55" t="s">
        <v>1061</v>
      </c>
      <c r="O75" s="19" t="e">
        <f>K75/F75</f>
        <v>#DIV/0!</v>
      </c>
      <c r="P75" s="19" t="e">
        <f>L75/(E75/1000)</f>
        <v>#DIV/0!</v>
      </c>
      <c r="R75" s="20" t="s">
        <v>1283</v>
      </c>
      <c r="W75" s="61"/>
      <c r="Y75" s="55"/>
    </row>
    <row r="76" spans="1:25" x14ac:dyDescent="0.35">
      <c r="A76" t="s">
        <v>543</v>
      </c>
      <c r="B76" s="66" t="s">
        <v>837</v>
      </c>
      <c r="C76" s="67" t="s">
        <v>763</v>
      </c>
      <c r="D76" s="68" t="s">
        <v>364</v>
      </c>
      <c r="E76" s="60">
        <v>10768</v>
      </c>
      <c r="F76" s="60">
        <v>141754.4</v>
      </c>
      <c r="G76" s="34">
        <f>IFERROR((F76/E76),0)</f>
        <v>13.164413075780089</v>
      </c>
      <c r="H76" s="1">
        <v>21671</v>
      </c>
      <c r="I76" s="1">
        <v>278140</v>
      </c>
      <c r="J76" s="64">
        <f>IFERROR((I76/H76),0)</f>
        <v>12.834663836463477</v>
      </c>
      <c r="K76" s="90">
        <f>I76-F76</f>
        <v>136385.60000000001</v>
      </c>
      <c r="L76" s="90">
        <f>(H76-E76)/1000</f>
        <v>10.903</v>
      </c>
      <c r="M76" s="55" t="s">
        <v>1061</v>
      </c>
      <c r="O76" s="19">
        <f>K76/F76</f>
        <v>0.96212604335385721</v>
      </c>
      <c r="P76" s="19">
        <f>L76/(E76/1000)</f>
        <v>1.012537147102526</v>
      </c>
      <c r="R76" s="20" t="s">
        <v>1601</v>
      </c>
      <c r="T76">
        <v>0</v>
      </c>
      <c r="U76">
        <v>0</v>
      </c>
      <c r="V76" s="18">
        <f>IFERROR((U76/T76),0)</f>
        <v>0</v>
      </c>
      <c r="W76" s="4">
        <f>F76-U76</f>
        <v>141754.4</v>
      </c>
      <c r="X76" s="19">
        <f>W76/F76</f>
        <v>1</v>
      </c>
      <c r="Y76" s="37"/>
    </row>
    <row r="77" spans="1:25" x14ac:dyDescent="0.35">
      <c r="A77" t="s">
        <v>615</v>
      </c>
      <c r="B77" s="66" t="s">
        <v>815</v>
      </c>
      <c r="C77" s="67" t="s">
        <v>673</v>
      </c>
      <c r="D77" s="68" t="s">
        <v>97</v>
      </c>
      <c r="E77" s="60">
        <v>4001.0000000000005</v>
      </c>
      <c r="F77" s="60">
        <v>94223.38</v>
      </c>
      <c r="G77" s="34">
        <f>IFERROR((F77/E77),0)</f>
        <v>23.549957510622342</v>
      </c>
      <c r="H77" s="1">
        <v>8375</v>
      </c>
      <c r="I77" s="1">
        <v>228716</v>
      </c>
      <c r="J77" s="64">
        <f>IFERROR((I77/H77),0)</f>
        <v>27.309373134328357</v>
      </c>
      <c r="K77" s="90">
        <f>I77-F77</f>
        <v>134492.62</v>
      </c>
      <c r="L77" s="90">
        <f>(H77-E77)/1000</f>
        <v>4.3739999999999997</v>
      </c>
      <c r="M77" s="55" t="s">
        <v>1061</v>
      </c>
      <c r="O77" s="19">
        <f>K77/F77</f>
        <v>1.4273805503474826</v>
      </c>
      <c r="P77" s="19">
        <f>L77/(E77/1000)</f>
        <v>1.0932266933266681</v>
      </c>
      <c r="R77" s="20" t="s">
        <v>1601</v>
      </c>
      <c r="W77" s="61"/>
      <c r="Y77" s="55"/>
    </row>
    <row r="78" spans="1:25" x14ac:dyDescent="0.35">
      <c r="A78" t="s">
        <v>432</v>
      </c>
      <c r="B78" s="66" t="s">
        <v>819</v>
      </c>
      <c r="C78" s="67" t="s">
        <v>697</v>
      </c>
      <c r="D78" s="68" t="s">
        <v>141</v>
      </c>
      <c r="E78" s="60">
        <v>7913</v>
      </c>
      <c r="F78" s="60">
        <v>84229.53</v>
      </c>
      <c r="G78" s="34">
        <f>IFERROR((F78/E78),0)</f>
        <v>10.644449639833185</v>
      </c>
      <c r="H78" s="1">
        <v>17992</v>
      </c>
      <c r="I78" s="1">
        <v>218615</v>
      </c>
      <c r="J78" s="64">
        <f>IFERROR((I78/H78),0)</f>
        <v>12.150678079146287</v>
      </c>
      <c r="K78" s="90">
        <f>I78-F78</f>
        <v>134385.47</v>
      </c>
      <c r="L78" s="90">
        <f>(H78-E78)/1000</f>
        <v>10.079000000000001</v>
      </c>
      <c r="M78" s="55" t="s">
        <v>1061</v>
      </c>
      <c r="O78" s="19">
        <f>K78/F78</f>
        <v>1.5954674091141194</v>
      </c>
      <c r="P78" s="19">
        <f>L78/(E78/1000)</f>
        <v>1.2737267787185644</v>
      </c>
      <c r="R78" s="20" t="s">
        <v>1601</v>
      </c>
      <c r="W78" s="61"/>
      <c r="Y78" s="55"/>
    </row>
    <row r="79" spans="1:25" x14ac:dyDescent="0.35">
      <c r="A79" t="s">
        <v>658</v>
      </c>
      <c r="B79" s="66" t="s">
        <v>1061</v>
      </c>
      <c r="C79" s="67" t="s">
        <v>393</v>
      </c>
      <c r="D79" s="68" t="s">
        <v>43</v>
      </c>
      <c r="E79" s="60">
        <v>84723</v>
      </c>
      <c r="F79" s="60">
        <v>2196862</v>
      </c>
      <c r="G79" s="34">
        <f>IFERROR((F79/E79),0)</f>
        <v>25.929936380911911</v>
      </c>
      <c r="H79" s="1">
        <v>96311</v>
      </c>
      <c r="I79" s="1">
        <v>2327862</v>
      </c>
      <c r="J79" s="64">
        <f>IFERROR((I79/H79),0)</f>
        <v>24.170260925543293</v>
      </c>
      <c r="K79" s="90">
        <f>I79-F79</f>
        <v>131000</v>
      </c>
      <c r="L79" s="90">
        <f>(H79-E79)/1000</f>
        <v>11.587999999999999</v>
      </c>
      <c r="M79" s="55" t="s">
        <v>1061</v>
      </c>
      <c r="O79" s="19">
        <f>K79/F79</f>
        <v>5.9630509335588673E-2</v>
      </c>
      <c r="P79" s="19">
        <f>L79/(E79/1000)</f>
        <v>0.13677513780201361</v>
      </c>
      <c r="R79" s="20" t="s">
        <v>1060</v>
      </c>
      <c r="T79">
        <v>0</v>
      </c>
      <c r="U79">
        <v>0</v>
      </c>
      <c r="V79" s="18">
        <f>IFERROR((U79/T79),0)</f>
        <v>0</v>
      </c>
      <c r="W79" s="4">
        <f>F79-U79</f>
        <v>2196862</v>
      </c>
      <c r="X79" s="19">
        <f>W79/F79</f>
        <v>1</v>
      </c>
      <c r="Y79" s="37"/>
    </row>
    <row r="80" spans="1:25" x14ac:dyDescent="0.35">
      <c r="A80" t="s">
        <v>1118</v>
      </c>
      <c r="B80" s="66" t="s">
        <v>1721</v>
      </c>
      <c r="C80" s="67" t="s">
        <v>1638</v>
      </c>
      <c r="D80" s="68" t="s">
        <v>1639</v>
      </c>
      <c r="E80" s="59">
        <v>0</v>
      </c>
      <c r="F80" s="59">
        <v>0</v>
      </c>
      <c r="G80" s="34">
        <f>IFERROR((F80/E80),0)</f>
        <v>0</v>
      </c>
      <c r="H80" s="1">
        <v>3038</v>
      </c>
      <c r="I80" s="1">
        <v>129915</v>
      </c>
      <c r="J80" s="64">
        <f>IFERROR((I80/H80),0)</f>
        <v>42.763331138907176</v>
      </c>
      <c r="K80" s="90">
        <f>I80-F80</f>
        <v>129915</v>
      </c>
      <c r="L80" s="90">
        <f>(H80-E80)/1000</f>
        <v>3.0379999999999998</v>
      </c>
      <c r="M80" s="55" t="s">
        <v>1061</v>
      </c>
      <c r="O80" s="19" t="e">
        <f>K80/F80</f>
        <v>#DIV/0!</v>
      </c>
      <c r="P80" s="19" t="e">
        <f>L80/(E80/1000)</f>
        <v>#DIV/0!</v>
      </c>
      <c r="R80" s="20" t="s">
        <v>1062</v>
      </c>
      <c r="T80">
        <v>0</v>
      </c>
      <c r="U80">
        <v>0</v>
      </c>
      <c r="V80" s="18">
        <f>IFERROR((U80/T80),0)</f>
        <v>0</v>
      </c>
      <c r="W80" s="4">
        <f>F80-U80</f>
        <v>0</v>
      </c>
      <c r="X80" s="19" t="e">
        <f>W80/F80</f>
        <v>#DIV/0!</v>
      </c>
      <c r="Y80" s="37"/>
    </row>
    <row r="81" spans="1:25" x14ac:dyDescent="0.35">
      <c r="A81" t="s">
        <v>681</v>
      </c>
      <c r="B81" s="66" t="s">
        <v>1061</v>
      </c>
      <c r="C81" s="67" t="s">
        <v>542</v>
      </c>
      <c r="D81" s="68" t="s">
        <v>273</v>
      </c>
      <c r="E81" s="59">
        <v>0</v>
      </c>
      <c r="F81" s="59">
        <v>0</v>
      </c>
      <c r="G81" s="34">
        <f>IFERROR((F81/E81),0)</f>
        <v>0</v>
      </c>
      <c r="H81" s="1">
        <v>9480</v>
      </c>
      <c r="I81" s="1">
        <v>128168</v>
      </c>
      <c r="J81" s="64">
        <f>IFERROR((I81/H81),0)</f>
        <v>13.519831223628692</v>
      </c>
      <c r="K81" s="90">
        <f>I81-F81</f>
        <v>128168</v>
      </c>
      <c r="L81" s="90">
        <f>(H81-E81)/1000</f>
        <v>9.48</v>
      </c>
      <c r="M81" s="55" t="s">
        <v>1061</v>
      </c>
      <c r="O81" s="19" t="e">
        <f>K81/F81</f>
        <v>#DIV/0!</v>
      </c>
      <c r="P81" s="19" t="e">
        <f>L81/(E81/1000)</f>
        <v>#DIV/0!</v>
      </c>
      <c r="R81" s="20" t="s">
        <v>1291</v>
      </c>
      <c r="W81" s="61"/>
      <c r="Y81" s="55"/>
    </row>
    <row r="82" spans="1:25" x14ac:dyDescent="0.35">
      <c r="A82" t="s">
        <v>1083</v>
      </c>
      <c r="B82" s="66" t="s">
        <v>1219</v>
      </c>
      <c r="C82" s="67" t="s">
        <v>1085</v>
      </c>
      <c r="D82" s="68" t="s">
        <v>1160</v>
      </c>
      <c r="E82" s="60">
        <v>67321</v>
      </c>
      <c r="F82" s="60">
        <v>870042.7</v>
      </c>
      <c r="G82" s="34">
        <f>IFERROR((F82/E82),0)</f>
        <v>12.923793467120214</v>
      </c>
      <c r="H82" s="1">
        <v>89934</v>
      </c>
      <c r="I82" s="1">
        <v>997852</v>
      </c>
      <c r="J82" s="64">
        <f>IFERROR((I82/H82),0)</f>
        <v>11.09538105721974</v>
      </c>
      <c r="K82" s="90">
        <f>I82-F82</f>
        <v>127809.30000000005</v>
      </c>
      <c r="L82" s="90">
        <f>(H82-E82)/1000</f>
        <v>22.613</v>
      </c>
      <c r="M82" s="55" t="s">
        <v>1061</v>
      </c>
      <c r="O82" s="19">
        <f>K82/F82</f>
        <v>0.14690003145822619</v>
      </c>
      <c r="P82" s="19">
        <f>L82/(E82/1000)</f>
        <v>0.33589815956388053</v>
      </c>
      <c r="R82" s="20" t="s">
        <v>1062</v>
      </c>
      <c r="T82">
        <v>0</v>
      </c>
      <c r="U82">
        <v>0</v>
      </c>
      <c r="V82" s="18">
        <f t="shared" ref="V82:V90" si="15">IFERROR((U82/T82),0)</f>
        <v>0</v>
      </c>
      <c r="W82" s="4">
        <f t="shared" ref="W82:W90" si="16">F82-U82</f>
        <v>870042.7</v>
      </c>
      <c r="X82" s="19">
        <f t="shared" ref="X82:X90" si="17">W82/F82</f>
        <v>1</v>
      </c>
      <c r="Y82" s="37"/>
    </row>
    <row r="83" spans="1:25" x14ac:dyDescent="0.35">
      <c r="A83" t="s">
        <v>521</v>
      </c>
      <c r="B83" s="66" t="s">
        <v>1219</v>
      </c>
      <c r="C83" s="67" t="s">
        <v>1098</v>
      </c>
      <c r="D83" s="68" t="s">
        <v>1169</v>
      </c>
      <c r="E83" s="59">
        <v>87639</v>
      </c>
      <c r="F83" s="59">
        <v>1371129</v>
      </c>
      <c r="G83" s="34">
        <f>IFERROR((F83/E83),0)</f>
        <v>15.645192208948071</v>
      </c>
      <c r="H83" s="1">
        <v>103418</v>
      </c>
      <c r="I83" s="1">
        <v>1495772</v>
      </c>
      <c r="J83" s="64">
        <f>IFERROR((I83/H83),0)</f>
        <v>14.46336227735984</v>
      </c>
      <c r="K83" s="90">
        <f>I83-F83</f>
        <v>124643</v>
      </c>
      <c r="L83" s="90">
        <f>(H83-E83)/1000</f>
        <v>15.779</v>
      </c>
      <c r="M83" s="55" t="s">
        <v>1061</v>
      </c>
      <c r="O83" s="19">
        <f>K83/F83</f>
        <v>9.090537797683515E-2</v>
      </c>
      <c r="P83" s="19">
        <f>L83/(E83/1000)</f>
        <v>0.18004541357158343</v>
      </c>
      <c r="R83" s="20" t="s">
        <v>1288</v>
      </c>
      <c r="T83">
        <v>2152</v>
      </c>
      <c r="U83">
        <v>35588</v>
      </c>
      <c r="V83" s="18">
        <f t="shared" si="15"/>
        <v>16.53717472118959</v>
      </c>
      <c r="W83" s="4">
        <f t="shared" si="16"/>
        <v>1335541</v>
      </c>
      <c r="X83" s="19">
        <f t="shared" si="17"/>
        <v>0.97404474706610389</v>
      </c>
      <c r="Y83" s="37"/>
    </row>
    <row r="84" spans="1:25" x14ac:dyDescent="0.35">
      <c r="A84" t="s">
        <v>750</v>
      </c>
      <c r="B84" s="66" t="s">
        <v>1394</v>
      </c>
      <c r="C84" s="67" t="s">
        <v>1454</v>
      </c>
      <c r="D84" s="68" t="s">
        <v>1372</v>
      </c>
      <c r="E84" s="60">
        <v>4797</v>
      </c>
      <c r="F84" s="60">
        <v>89907.5</v>
      </c>
      <c r="G84" s="34">
        <f>IFERROR((F84/E84),0)</f>
        <v>18.742443193662705</v>
      </c>
      <c r="H84" s="1">
        <v>20007</v>
      </c>
      <c r="I84" s="1">
        <v>212914</v>
      </c>
      <c r="J84" s="64">
        <f>IFERROR((I84/H84),0)</f>
        <v>10.641975308641975</v>
      </c>
      <c r="K84" s="90">
        <f>I84-F84</f>
        <v>123006.5</v>
      </c>
      <c r="L84" s="90">
        <f>(H84-E84)/1000</f>
        <v>15.21</v>
      </c>
      <c r="M84" s="55" t="s">
        <v>1061</v>
      </c>
      <c r="O84" s="19">
        <f>K84/F84</f>
        <v>1.3681450379556768</v>
      </c>
      <c r="P84" s="19">
        <f>L84/(E84/1000)</f>
        <v>3.1707317073170733</v>
      </c>
      <c r="R84" s="20" t="s">
        <v>1062</v>
      </c>
      <c r="T84">
        <v>0</v>
      </c>
      <c r="U84">
        <v>0</v>
      </c>
      <c r="V84" s="18">
        <f t="shared" si="15"/>
        <v>0</v>
      </c>
      <c r="W84" s="4">
        <f t="shared" si="16"/>
        <v>89907.5</v>
      </c>
      <c r="X84" s="19">
        <f t="shared" si="17"/>
        <v>1</v>
      </c>
      <c r="Y84" s="37"/>
    </row>
    <row r="85" spans="1:25" x14ac:dyDescent="0.35">
      <c r="A85" t="s">
        <v>616</v>
      </c>
      <c r="B85" s="66" t="s">
        <v>1219</v>
      </c>
      <c r="C85" s="67" t="s">
        <v>1106</v>
      </c>
      <c r="D85" s="68" t="s">
        <v>1156</v>
      </c>
      <c r="E85" s="60">
        <v>17506</v>
      </c>
      <c r="F85" s="60">
        <v>105313.5</v>
      </c>
      <c r="G85" s="34">
        <f>IFERROR((F85/E85),0)</f>
        <v>6.0158517079858331</v>
      </c>
      <c r="H85" s="1">
        <v>36244</v>
      </c>
      <c r="I85" s="1">
        <v>227479</v>
      </c>
      <c r="J85" s="64">
        <f>IFERROR((I85/H85),0)</f>
        <v>6.2763215980576099</v>
      </c>
      <c r="K85" s="90">
        <f>I85-F85</f>
        <v>122165.5</v>
      </c>
      <c r="L85" s="90">
        <f>(H85-E85)/1000</f>
        <v>18.738</v>
      </c>
      <c r="M85" s="55" t="s">
        <v>1061</v>
      </c>
      <c r="O85" s="19">
        <f>K85/F85</f>
        <v>1.1600174716441862</v>
      </c>
      <c r="P85" s="19">
        <f>L85/(E85/1000)</f>
        <v>1.0703758711298983</v>
      </c>
      <c r="R85" s="20" t="s">
        <v>1283</v>
      </c>
      <c r="T85">
        <v>4039</v>
      </c>
      <c r="U85">
        <v>54471</v>
      </c>
      <c r="V85" s="18">
        <f t="shared" si="15"/>
        <v>13.48625897499381</v>
      </c>
      <c r="W85" s="4">
        <f t="shared" si="16"/>
        <v>50842.5</v>
      </c>
      <c r="X85" s="19">
        <f t="shared" si="17"/>
        <v>0.4827728638778504</v>
      </c>
      <c r="Y85" s="37"/>
    </row>
    <row r="86" spans="1:25" x14ac:dyDescent="0.35">
      <c r="A86" t="s">
        <v>1417</v>
      </c>
      <c r="B86" s="66" t="s">
        <v>1595</v>
      </c>
      <c r="C86" s="67" t="s">
        <v>1530</v>
      </c>
      <c r="D86" s="68" t="s">
        <v>1581</v>
      </c>
      <c r="E86" s="60">
        <v>18094</v>
      </c>
      <c r="F86" s="60">
        <v>180626.5</v>
      </c>
      <c r="G86" s="34">
        <f>IFERROR((F86/E86),0)</f>
        <v>9.9826738145241514</v>
      </c>
      <c r="H86" s="1">
        <v>27222</v>
      </c>
      <c r="I86" s="1">
        <v>299954</v>
      </c>
      <c r="J86" s="64">
        <f>IFERROR((I86/H86),0)</f>
        <v>11.018808316802586</v>
      </c>
      <c r="K86" s="90">
        <f>I86-F86</f>
        <v>119327.5</v>
      </c>
      <c r="L86" s="90">
        <f>(H86-E86)/1000</f>
        <v>9.1280000000000001</v>
      </c>
      <c r="M86" s="55" t="s">
        <v>1061</v>
      </c>
      <c r="O86" s="19">
        <f>K86/F86</f>
        <v>0.66063119199010112</v>
      </c>
      <c r="P86" s="19">
        <f>L86/(E86/1000)</f>
        <v>0.50447662208466892</v>
      </c>
      <c r="R86" s="20" t="s">
        <v>1299</v>
      </c>
      <c r="T86">
        <v>2021</v>
      </c>
      <c r="U86">
        <v>21869</v>
      </c>
      <c r="V86" s="18">
        <f t="shared" si="15"/>
        <v>10.820880752102919</v>
      </c>
      <c r="W86" s="4">
        <f t="shared" si="16"/>
        <v>158757.5</v>
      </c>
      <c r="X86" s="19">
        <f t="shared" si="17"/>
        <v>0.87892695700796952</v>
      </c>
      <c r="Y86" s="37" t="s">
        <v>1277</v>
      </c>
    </row>
    <row r="87" spans="1:25" x14ac:dyDescent="0.35">
      <c r="A87" t="s">
        <v>1126</v>
      </c>
      <c r="B87" s="66" t="s">
        <v>1721</v>
      </c>
      <c r="C87" s="67" t="s">
        <v>1640</v>
      </c>
      <c r="D87" s="68" t="s">
        <v>1641</v>
      </c>
      <c r="E87" s="59">
        <v>0</v>
      </c>
      <c r="F87" s="59">
        <v>0</v>
      </c>
      <c r="G87" s="34">
        <f>IFERROR((F87/E87),0)</f>
        <v>0</v>
      </c>
      <c r="H87" s="1">
        <v>14463</v>
      </c>
      <c r="I87" s="1">
        <v>112302</v>
      </c>
      <c r="J87" s="64">
        <f>IFERROR((I87/H87),0)</f>
        <v>7.7647790914747974</v>
      </c>
      <c r="K87" s="90">
        <f>I87-F87</f>
        <v>112302</v>
      </c>
      <c r="L87" s="90">
        <f>(H87-E87)/1000</f>
        <v>14.462999999999999</v>
      </c>
      <c r="M87" s="55" t="s">
        <v>1061</v>
      </c>
      <c r="O87" s="19" t="e">
        <f>K87/F87</f>
        <v>#DIV/0!</v>
      </c>
      <c r="P87" s="19" t="e">
        <f>L87/(E87/1000)</f>
        <v>#DIV/0!</v>
      </c>
      <c r="R87" s="20" t="s">
        <v>1729</v>
      </c>
      <c r="T87">
        <v>67477</v>
      </c>
      <c r="U87">
        <v>648628</v>
      </c>
      <c r="V87" s="18">
        <f t="shared" si="15"/>
        <v>9.6125791010270163</v>
      </c>
      <c r="W87" s="4">
        <f t="shared" si="16"/>
        <v>-648628</v>
      </c>
      <c r="X87" s="19" t="e">
        <f t="shared" si="17"/>
        <v>#DIV/0!</v>
      </c>
      <c r="Y87" s="37" t="s">
        <v>1066</v>
      </c>
    </row>
    <row r="88" spans="1:25" x14ac:dyDescent="0.35">
      <c r="A88" t="s">
        <v>1418</v>
      </c>
      <c r="B88" s="66" t="s">
        <v>1721</v>
      </c>
      <c r="C88" s="67" t="s">
        <v>1642</v>
      </c>
      <c r="D88" s="68" t="s">
        <v>1643</v>
      </c>
      <c r="E88" s="59">
        <v>0</v>
      </c>
      <c r="F88" s="59">
        <v>0</v>
      </c>
      <c r="G88" s="34">
        <f>IFERROR((F88/E88),0)</f>
        <v>0</v>
      </c>
      <c r="H88" s="1">
        <v>12418</v>
      </c>
      <c r="I88" s="1">
        <v>111828</v>
      </c>
      <c r="J88" s="64">
        <f>IFERROR((I88/H88),0)</f>
        <v>9.0053148655177964</v>
      </c>
      <c r="K88" s="90">
        <f>I88-F88</f>
        <v>111828</v>
      </c>
      <c r="L88" s="90">
        <f>(H88-E88)/1000</f>
        <v>12.417999999999999</v>
      </c>
      <c r="M88" s="55" t="s">
        <v>1061</v>
      </c>
      <c r="O88" s="19" t="e">
        <f>K88/F88</f>
        <v>#DIV/0!</v>
      </c>
      <c r="P88" s="19" t="e">
        <f>L88/(E88/1000)</f>
        <v>#DIV/0!</v>
      </c>
      <c r="R88" s="20" t="s">
        <v>1301</v>
      </c>
      <c r="T88">
        <v>26984</v>
      </c>
      <c r="U88">
        <v>578485</v>
      </c>
      <c r="V88" s="18">
        <f t="shared" si="15"/>
        <v>21.438074414467831</v>
      </c>
      <c r="W88" s="4">
        <f t="shared" si="16"/>
        <v>-578485</v>
      </c>
      <c r="X88" s="19" t="e">
        <f t="shared" si="17"/>
        <v>#DIV/0!</v>
      </c>
      <c r="Y88" s="37"/>
    </row>
    <row r="89" spans="1:25" x14ac:dyDescent="0.35">
      <c r="A89" t="s">
        <v>609</v>
      </c>
      <c r="B89" s="66" t="s">
        <v>1225</v>
      </c>
      <c r="C89" s="67" t="s">
        <v>592</v>
      </c>
      <c r="D89" s="68" t="s">
        <v>60</v>
      </c>
      <c r="E89" s="60">
        <v>12957</v>
      </c>
      <c r="F89" s="60">
        <v>262593.5</v>
      </c>
      <c r="G89" s="34">
        <f>IFERROR((F89/E89),0)</f>
        <v>20.266535463456048</v>
      </c>
      <c r="H89" s="1">
        <v>25072</v>
      </c>
      <c r="I89" s="1">
        <v>371248</v>
      </c>
      <c r="J89" s="64">
        <f>IFERROR((I89/H89),0)</f>
        <v>14.807275047862158</v>
      </c>
      <c r="K89" s="90">
        <f>I89-F89</f>
        <v>108654.5</v>
      </c>
      <c r="L89" s="90">
        <f>(H89-E89)/1000</f>
        <v>12.115</v>
      </c>
      <c r="M89" s="55" t="s">
        <v>1061</v>
      </c>
      <c r="O89" s="19">
        <f>K89/F89</f>
        <v>0.41377452221780053</v>
      </c>
      <c r="P89" s="19">
        <f>L89/(E89/1000)</f>
        <v>0.9350158215636335</v>
      </c>
      <c r="R89" s="20" t="s">
        <v>1287</v>
      </c>
      <c r="T89">
        <v>0</v>
      </c>
      <c r="U89">
        <v>0</v>
      </c>
      <c r="V89" s="18">
        <f t="shared" si="15"/>
        <v>0</v>
      </c>
      <c r="W89" s="4">
        <f t="shared" si="16"/>
        <v>262593.5</v>
      </c>
      <c r="X89" s="19">
        <f t="shared" si="17"/>
        <v>1</v>
      </c>
      <c r="Y89" s="37"/>
    </row>
    <row r="90" spans="1:25" x14ac:dyDescent="0.35">
      <c r="A90" t="s">
        <v>1116</v>
      </c>
      <c r="B90" s="66" t="s">
        <v>1721</v>
      </c>
      <c r="C90" s="67" t="s">
        <v>1644</v>
      </c>
      <c r="D90" s="68" t="s">
        <v>1645</v>
      </c>
      <c r="E90" s="59">
        <v>0</v>
      </c>
      <c r="F90" s="59">
        <v>0</v>
      </c>
      <c r="G90" s="34">
        <f>IFERROR((F90/E90),0)</f>
        <v>0</v>
      </c>
      <c r="H90" s="1">
        <v>10019</v>
      </c>
      <c r="I90" s="1">
        <v>106697</v>
      </c>
      <c r="J90" s="64">
        <f>IFERROR((I90/H90),0)</f>
        <v>10.649466014572313</v>
      </c>
      <c r="K90" s="90">
        <f>I90-F90</f>
        <v>106697</v>
      </c>
      <c r="L90" s="90">
        <f>(H90-E90)/1000</f>
        <v>10.019</v>
      </c>
      <c r="M90" s="55" t="s">
        <v>1061</v>
      </c>
      <c r="O90" s="19" t="e">
        <f>K90/F90</f>
        <v>#DIV/0!</v>
      </c>
      <c r="P90" s="19" t="e">
        <f>L90/(E90/1000)</f>
        <v>#DIV/0!</v>
      </c>
      <c r="R90" s="20" t="s">
        <v>1730</v>
      </c>
      <c r="T90">
        <v>1729</v>
      </c>
      <c r="U90">
        <v>23226</v>
      </c>
      <c r="V90" s="18">
        <f t="shared" si="15"/>
        <v>13.433198380566802</v>
      </c>
      <c r="W90" s="4">
        <f t="shared" si="16"/>
        <v>-23226</v>
      </c>
      <c r="X90" s="19" t="e">
        <f t="shared" si="17"/>
        <v>#DIV/0!</v>
      </c>
      <c r="Y90" s="37"/>
    </row>
    <row r="91" spans="1:25" x14ac:dyDescent="0.35">
      <c r="A91" t="s">
        <v>751</v>
      </c>
      <c r="B91" s="66" t="s">
        <v>1219</v>
      </c>
      <c r="C91" s="67" t="s">
        <v>1083</v>
      </c>
      <c r="D91" s="68" t="s">
        <v>1346</v>
      </c>
      <c r="E91" s="59">
        <v>23959</v>
      </c>
      <c r="F91" s="59">
        <v>229020.4</v>
      </c>
      <c r="G91" s="34">
        <f>IFERROR((F91/E91),0)</f>
        <v>9.5588463625359985</v>
      </c>
      <c r="H91" s="1">
        <v>38417</v>
      </c>
      <c r="I91" s="1">
        <v>335543</v>
      </c>
      <c r="J91" s="64">
        <f>IFERROR((I91/H91),0)</f>
        <v>8.7342322409350022</v>
      </c>
      <c r="K91" s="90">
        <f>I91-F91</f>
        <v>106522.6</v>
      </c>
      <c r="L91" s="90">
        <f>(H91-E91)/1000</f>
        <v>14.458</v>
      </c>
      <c r="M91" s="55" t="s">
        <v>1061</v>
      </c>
      <c r="O91" s="19">
        <f>K91/F91</f>
        <v>0.46512275762333838</v>
      </c>
      <c r="P91" s="19">
        <f>L91/(E91/1000)</f>
        <v>0.60344755624191326</v>
      </c>
      <c r="R91" s="20" t="s">
        <v>1305</v>
      </c>
      <c r="W91" s="61"/>
      <c r="Y91" s="55"/>
    </row>
    <row r="92" spans="1:25" x14ac:dyDescent="0.35">
      <c r="A92" t="s">
        <v>896</v>
      </c>
      <c r="B92" s="66" t="s">
        <v>1595</v>
      </c>
      <c r="C92" s="67" t="s">
        <v>1497</v>
      </c>
      <c r="D92" s="68" t="s">
        <v>1548</v>
      </c>
      <c r="E92" s="60">
        <v>1421</v>
      </c>
      <c r="F92" s="60">
        <v>23274.05</v>
      </c>
      <c r="G92" s="34">
        <f>IFERROR((F92/E92),0)</f>
        <v>16.378641801548206</v>
      </c>
      <c r="H92" s="1">
        <v>8931</v>
      </c>
      <c r="I92" s="1">
        <v>128779</v>
      </c>
      <c r="J92" s="64">
        <f>IFERROR((I92/H92),0)</f>
        <v>14.419325943343411</v>
      </c>
      <c r="K92" s="90">
        <f>I92-F92</f>
        <v>105504.95</v>
      </c>
      <c r="L92" s="90">
        <f>(H92-E92)/1000</f>
        <v>7.51</v>
      </c>
      <c r="M92" s="55" t="s">
        <v>1061</v>
      </c>
      <c r="O92" s="19">
        <f>K92/F92</f>
        <v>4.5331581740178439</v>
      </c>
      <c r="P92" s="19">
        <f>L92/(E92/1000)</f>
        <v>5.2850105559465161</v>
      </c>
      <c r="R92" s="20" t="s">
        <v>1305</v>
      </c>
      <c r="T92">
        <v>25569</v>
      </c>
      <c r="U92">
        <v>214364</v>
      </c>
      <c r="V92" s="18">
        <f>IFERROR((U92/T92),0)</f>
        <v>8.3837459423520677</v>
      </c>
      <c r="W92" s="4">
        <f>F92-U92</f>
        <v>-191089.95</v>
      </c>
      <c r="X92" s="19">
        <f>W92/F92</f>
        <v>-8.2104296415965425</v>
      </c>
      <c r="Y92" s="37"/>
    </row>
    <row r="93" spans="1:25" x14ac:dyDescent="0.35">
      <c r="A93" t="s">
        <v>753</v>
      </c>
      <c r="B93" s="66" t="s">
        <v>1219</v>
      </c>
      <c r="C93" s="67" t="s">
        <v>1118</v>
      </c>
      <c r="D93" s="68" t="s">
        <v>1210</v>
      </c>
      <c r="E93" s="60">
        <v>2487</v>
      </c>
      <c r="F93" s="60">
        <v>24568.63</v>
      </c>
      <c r="G93" s="34">
        <f>IFERROR((F93/E93),0)</f>
        <v>9.8788218737434672</v>
      </c>
      <c r="H93" s="1">
        <v>9910</v>
      </c>
      <c r="I93" s="1">
        <v>129976</v>
      </c>
      <c r="J93" s="64">
        <f>IFERROR((I93/H93),0)</f>
        <v>13.11564076690212</v>
      </c>
      <c r="K93" s="90">
        <f>I93-F93</f>
        <v>105407.37</v>
      </c>
      <c r="L93" s="90">
        <f>(H93-E93)/1000</f>
        <v>7.423</v>
      </c>
      <c r="M93" s="55" t="s">
        <v>1061</v>
      </c>
      <c r="O93" s="19">
        <f>K93/F93</f>
        <v>4.2903234734700302</v>
      </c>
      <c r="P93" s="19">
        <f>L93/(E93/1000)</f>
        <v>2.9847205468435867</v>
      </c>
      <c r="R93" s="20" t="s">
        <v>1307</v>
      </c>
      <c r="T93">
        <v>0</v>
      </c>
      <c r="U93">
        <v>0</v>
      </c>
      <c r="V93" s="18">
        <f>IFERROR((U93/T93),0)</f>
        <v>0</v>
      </c>
      <c r="W93" s="4">
        <f>F93-U93</f>
        <v>24568.63</v>
      </c>
      <c r="X93" s="19">
        <f>W93/F93</f>
        <v>1</v>
      </c>
      <c r="Y93" s="37"/>
    </row>
    <row r="94" spans="1:25" x14ac:dyDescent="0.35">
      <c r="A94" t="s">
        <v>1419</v>
      </c>
      <c r="B94" s="66" t="s">
        <v>1721</v>
      </c>
      <c r="C94" s="67" t="s">
        <v>1646</v>
      </c>
      <c r="D94" s="68" t="s">
        <v>1647</v>
      </c>
      <c r="E94" s="59">
        <v>0</v>
      </c>
      <c r="F94" s="59">
        <v>0</v>
      </c>
      <c r="G94" s="34">
        <f>IFERROR((F94/E94),0)</f>
        <v>0</v>
      </c>
      <c r="H94" s="1">
        <v>11153</v>
      </c>
      <c r="I94" s="1">
        <v>104909</v>
      </c>
      <c r="J94" s="64">
        <f>IFERROR((I94/H94),0)</f>
        <v>9.4063480677844531</v>
      </c>
      <c r="K94" s="90">
        <f>I94-F94</f>
        <v>104909</v>
      </c>
      <c r="L94" s="90">
        <f>(H94-E94)/1000</f>
        <v>11.153</v>
      </c>
      <c r="M94" s="55" t="s">
        <v>1061</v>
      </c>
      <c r="O94" s="19" t="e">
        <f>K94/F94</f>
        <v>#DIV/0!</v>
      </c>
      <c r="P94" s="19" t="e">
        <f>L94/(E94/1000)</f>
        <v>#DIV/0!</v>
      </c>
      <c r="R94" s="20" t="s">
        <v>1302</v>
      </c>
      <c r="W94" s="61"/>
      <c r="Y94" s="55"/>
    </row>
    <row r="95" spans="1:25" x14ac:dyDescent="0.35">
      <c r="A95" t="s">
        <v>898</v>
      </c>
      <c r="B95" s="66" t="s">
        <v>837</v>
      </c>
      <c r="C95" s="67" t="s">
        <v>1224</v>
      </c>
      <c r="D95" s="68" t="s">
        <v>352</v>
      </c>
      <c r="E95" s="59">
        <v>249390</v>
      </c>
      <c r="F95" s="59">
        <v>2699664</v>
      </c>
      <c r="G95" s="34">
        <f>IFERROR((F95/E95),0)</f>
        <v>10.825069168771803</v>
      </c>
      <c r="H95" s="1">
        <v>252306</v>
      </c>
      <c r="I95" s="1">
        <v>2802137</v>
      </c>
      <c r="J95" s="64">
        <f>IFERROR((I95/H95),0)</f>
        <v>11.10610528485252</v>
      </c>
      <c r="K95" s="90">
        <f>I95-F95</f>
        <v>102473</v>
      </c>
      <c r="L95" s="90">
        <f>(H95-E95)/1000</f>
        <v>2.9159999999999999</v>
      </c>
      <c r="M95" s="55" t="s">
        <v>1061</v>
      </c>
      <c r="O95" s="19">
        <f>K95/F95</f>
        <v>3.7957686586182579E-2</v>
      </c>
      <c r="P95" s="19">
        <f>L95/(E95/1000)</f>
        <v>1.1692529772645255E-2</v>
      </c>
      <c r="R95" s="20" t="s">
        <v>1060</v>
      </c>
      <c r="W95" s="61"/>
      <c r="Y95" s="55"/>
    </row>
    <row r="96" spans="1:25" x14ac:dyDescent="0.35">
      <c r="A96" t="s">
        <v>1107</v>
      </c>
      <c r="B96" s="66" t="s">
        <v>1219</v>
      </c>
      <c r="C96" s="67" t="s">
        <v>1082</v>
      </c>
      <c r="D96" s="68" t="s">
        <v>1584</v>
      </c>
      <c r="E96" s="60">
        <v>6546</v>
      </c>
      <c r="F96" s="60">
        <v>62128.2</v>
      </c>
      <c r="G96" s="34">
        <f>IFERROR((F96/E96),0)</f>
        <v>9.4910174152153974</v>
      </c>
      <c r="H96" s="1">
        <v>15898</v>
      </c>
      <c r="I96" s="1">
        <v>163292</v>
      </c>
      <c r="J96" s="64">
        <f>IFERROR((I96/H96),0)</f>
        <v>10.27122908541955</v>
      </c>
      <c r="K96" s="90">
        <f>I96-F96</f>
        <v>101163.8</v>
      </c>
      <c r="L96" s="90">
        <f>(H96-E96)/1000</f>
        <v>9.3520000000000003</v>
      </c>
      <c r="M96" s="55" t="s">
        <v>1061</v>
      </c>
      <c r="O96" s="19">
        <f>K96/F96</f>
        <v>1.6283072743134359</v>
      </c>
      <c r="P96" s="19">
        <f>L96/(E96/1000)</f>
        <v>1.428658722884204</v>
      </c>
      <c r="R96" s="20" t="s">
        <v>1305</v>
      </c>
      <c r="W96" s="61"/>
      <c r="Y96" s="55"/>
    </row>
    <row r="97" spans="1:25" x14ac:dyDescent="0.35">
      <c r="A97" t="s">
        <v>435</v>
      </c>
      <c r="B97" s="66" t="s">
        <v>1595</v>
      </c>
      <c r="C97" s="67" t="s">
        <v>1507</v>
      </c>
      <c r="D97" s="68" t="s">
        <v>1559</v>
      </c>
      <c r="E97" s="60">
        <v>5862</v>
      </c>
      <c r="F97" s="60">
        <v>78351.039999999994</v>
      </c>
      <c r="G97" s="34">
        <f>IFERROR((F97/E97),0)</f>
        <v>13.365922893210508</v>
      </c>
      <c r="H97" s="1">
        <v>11471</v>
      </c>
      <c r="I97" s="1">
        <v>178550</v>
      </c>
      <c r="J97" s="64">
        <f>IFERROR((I97/H97),0)</f>
        <v>15.565338680149944</v>
      </c>
      <c r="K97" s="90">
        <f>I97-F97</f>
        <v>100198.96</v>
      </c>
      <c r="L97" s="90">
        <f>(H97-E97)/1000</f>
        <v>5.609</v>
      </c>
      <c r="M97" s="55" t="s">
        <v>1061</v>
      </c>
      <c r="O97" s="19">
        <f>K97/F97</f>
        <v>1.2788465858270677</v>
      </c>
      <c r="P97" s="19">
        <f>L97/(E97/1000)</f>
        <v>0.95684066871374951</v>
      </c>
      <c r="R97" s="20" t="s">
        <v>1287</v>
      </c>
      <c r="T97">
        <v>0</v>
      </c>
      <c r="U97">
        <v>0</v>
      </c>
      <c r="V97" s="18">
        <f>IFERROR((U97/T97),0)</f>
        <v>0</v>
      </c>
      <c r="W97" s="4">
        <f>F97-U97</f>
        <v>78351.039999999994</v>
      </c>
      <c r="X97" s="19">
        <f>W97/F97</f>
        <v>1</v>
      </c>
      <c r="Y97" s="37"/>
    </row>
    <row r="98" spans="1:25" x14ac:dyDescent="0.35">
      <c r="A98" t="s">
        <v>902</v>
      </c>
      <c r="B98" s="66" t="s">
        <v>1595</v>
      </c>
      <c r="C98" s="67" t="s">
        <v>1529</v>
      </c>
      <c r="D98" s="68" t="s">
        <v>1580</v>
      </c>
      <c r="E98" s="60">
        <v>4681</v>
      </c>
      <c r="F98" s="60">
        <v>47325.22</v>
      </c>
      <c r="G98" s="34">
        <f>IFERROR((F98/E98),0)</f>
        <v>10.110066225165562</v>
      </c>
      <c r="H98" s="1">
        <v>16646</v>
      </c>
      <c r="I98" s="1">
        <v>147135</v>
      </c>
      <c r="J98" s="64">
        <f>IFERROR((I98/H98),0)</f>
        <v>8.8390604349393254</v>
      </c>
      <c r="K98" s="90">
        <f>I98-F98</f>
        <v>99809.78</v>
      </c>
      <c r="L98" s="90">
        <f>(H98-E98)/1000</f>
        <v>11.965</v>
      </c>
      <c r="M98" s="55" t="s">
        <v>1061</v>
      </c>
      <c r="O98" s="19">
        <f>K98/F98</f>
        <v>2.1090188275934056</v>
      </c>
      <c r="P98" s="19">
        <f>L98/(E98/1000)</f>
        <v>2.5560777611621446</v>
      </c>
      <c r="R98" s="20" t="s">
        <v>1602</v>
      </c>
      <c r="T98">
        <v>38360</v>
      </c>
      <c r="U98">
        <v>435362</v>
      </c>
      <c r="V98" s="18">
        <f>IFERROR((U98/T98),0)</f>
        <v>11.349374348279458</v>
      </c>
      <c r="W98" s="4">
        <f>F98-U98</f>
        <v>-388036.78</v>
      </c>
      <c r="X98" s="19">
        <f>W98/F98</f>
        <v>-8.199365581396135</v>
      </c>
      <c r="Y98" s="37"/>
    </row>
    <row r="99" spans="1:25" x14ac:dyDescent="0.35">
      <c r="A99" t="s">
        <v>1420</v>
      </c>
      <c r="B99" s="66" t="s">
        <v>1061</v>
      </c>
      <c r="C99" s="67" t="s">
        <v>557</v>
      </c>
      <c r="D99" s="68" t="s">
        <v>262</v>
      </c>
      <c r="E99" s="60">
        <v>4397</v>
      </c>
      <c r="F99" s="60">
        <v>59763.8</v>
      </c>
      <c r="G99" s="34">
        <f>IFERROR((F99/E99),0)</f>
        <v>13.591949056174665</v>
      </c>
      <c r="H99" s="1">
        <v>12279</v>
      </c>
      <c r="I99" s="1">
        <v>158982</v>
      </c>
      <c r="J99" s="64">
        <f>IFERROR((I99/H99),0)</f>
        <v>12.947471292450524</v>
      </c>
      <c r="K99" s="90">
        <f>I99-F99</f>
        <v>99218.2</v>
      </c>
      <c r="L99" s="90">
        <f>(H99-E99)/1000</f>
        <v>7.8819999999999997</v>
      </c>
      <c r="M99" s="55" t="s">
        <v>1061</v>
      </c>
      <c r="O99" s="19">
        <f>K99/F99</f>
        <v>1.6601722112717061</v>
      </c>
      <c r="P99" s="19">
        <f>L99/(E99/1000)</f>
        <v>1.7925858539913575</v>
      </c>
      <c r="R99" s="20" t="s">
        <v>1601</v>
      </c>
      <c r="T99">
        <v>21083</v>
      </c>
      <c r="U99">
        <v>332874</v>
      </c>
      <c r="V99" s="18">
        <f>IFERROR((U99/T99),0)</f>
        <v>15.788739742920837</v>
      </c>
      <c r="W99" s="4">
        <f>F99-U99</f>
        <v>-273110.2</v>
      </c>
      <c r="X99" s="19">
        <f>W99/F99</f>
        <v>-4.5698265505205491</v>
      </c>
      <c r="Y99" s="37"/>
    </row>
    <row r="100" spans="1:25" x14ac:dyDescent="0.35">
      <c r="A100" t="s">
        <v>700</v>
      </c>
      <c r="B100" s="66" t="s">
        <v>1219</v>
      </c>
      <c r="C100" s="67" t="s">
        <v>1086</v>
      </c>
      <c r="D100" s="68" t="s">
        <v>1158</v>
      </c>
      <c r="E100" s="60">
        <v>11534</v>
      </c>
      <c r="F100" s="60">
        <v>155585.20000000001</v>
      </c>
      <c r="G100" s="34">
        <f>IFERROR((F100/E100),0)</f>
        <v>13.489266516386337</v>
      </c>
      <c r="H100" s="1">
        <v>18310</v>
      </c>
      <c r="I100" s="1">
        <v>254344</v>
      </c>
      <c r="J100" s="64">
        <f>IFERROR((I100/H100),0)</f>
        <v>13.890988530857454</v>
      </c>
      <c r="K100" s="90">
        <f>I100-F100</f>
        <v>98758.799999999988</v>
      </c>
      <c r="L100" s="90">
        <f>(H100-E100)/1000</f>
        <v>6.7759999999999998</v>
      </c>
      <c r="M100" s="55" t="s">
        <v>1061</v>
      </c>
      <c r="O100" s="19">
        <f>K100/F100</f>
        <v>0.6347570334453404</v>
      </c>
      <c r="P100" s="19">
        <f>L100/(E100/1000)</f>
        <v>0.58748049245708334</v>
      </c>
      <c r="R100" s="20" t="s">
        <v>1300</v>
      </c>
      <c r="T100">
        <v>0</v>
      </c>
      <c r="U100">
        <v>0</v>
      </c>
      <c r="V100" s="18">
        <f>IFERROR((U100/T100),0)</f>
        <v>0</v>
      </c>
      <c r="W100" s="4">
        <f>F100-U100</f>
        <v>155585.20000000001</v>
      </c>
      <c r="X100" s="19">
        <f>W100/F100</f>
        <v>1</v>
      </c>
      <c r="Y100" s="37"/>
    </row>
    <row r="101" spans="1:25" x14ac:dyDescent="0.35">
      <c r="A101" t="s">
        <v>1422</v>
      </c>
      <c r="B101" s="66" t="s">
        <v>1721</v>
      </c>
      <c r="C101" s="67" t="s">
        <v>1648</v>
      </c>
      <c r="D101" s="68" t="s">
        <v>1649</v>
      </c>
      <c r="E101" s="59">
        <v>0</v>
      </c>
      <c r="F101" s="59">
        <v>0</v>
      </c>
      <c r="G101" s="34">
        <f>IFERROR((F101/E101),0)</f>
        <v>0</v>
      </c>
      <c r="H101" s="1">
        <v>5426</v>
      </c>
      <c r="I101" s="1">
        <v>96598</v>
      </c>
      <c r="J101" s="64">
        <f>IFERROR((I101/H101),0)</f>
        <v>17.802801326944341</v>
      </c>
      <c r="K101" s="90">
        <f>I101-F101</f>
        <v>96598</v>
      </c>
      <c r="L101" s="90">
        <f>(H101-E101)/1000</f>
        <v>5.4260000000000002</v>
      </c>
      <c r="M101" s="55" t="s">
        <v>1061</v>
      </c>
      <c r="O101" s="19" t="e">
        <f>K101/F101</f>
        <v>#DIV/0!</v>
      </c>
      <c r="P101" s="19" t="e">
        <f>L101/(E101/1000)</f>
        <v>#DIV/0!</v>
      </c>
      <c r="R101" s="20" t="s">
        <v>1296</v>
      </c>
      <c r="W101" s="61"/>
      <c r="Y101" s="55"/>
    </row>
    <row r="102" spans="1:25" x14ac:dyDescent="0.35">
      <c r="A102" t="s">
        <v>1119</v>
      </c>
      <c r="B102" s="66" t="s">
        <v>1721</v>
      </c>
      <c r="C102" s="67" t="s">
        <v>1650</v>
      </c>
      <c r="D102" s="68" t="s">
        <v>1651</v>
      </c>
      <c r="E102" s="59">
        <v>0</v>
      </c>
      <c r="F102" s="59">
        <v>0</v>
      </c>
      <c r="G102" s="34">
        <f>IFERROR((F102/E102),0)</f>
        <v>0</v>
      </c>
      <c r="H102" s="1">
        <v>8542</v>
      </c>
      <c r="I102" s="1">
        <v>96119</v>
      </c>
      <c r="J102" s="64">
        <f>IFERROR((I102/H102),0)</f>
        <v>11.252516974947319</v>
      </c>
      <c r="K102" s="90">
        <f>I102-F102</f>
        <v>96119</v>
      </c>
      <c r="L102" s="90">
        <f>(H102-E102)/1000</f>
        <v>8.5419999999999998</v>
      </c>
      <c r="M102" s="55" t="s">
        <v>1061</v>
      </c>
      <c r="O102" s="19" t="e">
        <f>K102/F102</f>
        <v>#DIV/0!</v>
      </c>
      <c r="P102" s="19" t="e">
        <f>L102/(E102/1000)</f>
        <v>#DIV/0!</v>
      </c>
      <c r="R102" s="20" t="s">
        <v>1310</v>
      </c>
      <c r="W102" s="61"/>
      <c r="Y102" s="55"/>
    </row>
    <row r="103" spans="1:25" x14ac:dyDescent="0.35">
      <c r="A103" t="s">
        <v>1098</v>
      </c>
      <c r="B103" s="66" t="s">
        <v>1595</v>
      </c>
      <c r="C103" s="67" t="s">
        <v>1520</v>
      </c>
      <c r="D103" s="68" t="s">
        <v>1571</v>
      </c>
      <c r="E103" s="60">
        <v>2277</v>
      </c>
      <c r="F103" s="60">
        <v>25098.2</v>
      </c>
      <c r="G103" s="34">
        <f>IFERROR((F103/E103),0)</f>
        <v>11.022485726833553</v>
      </c>
      <c r="H103" s="1">
        <v>8973</v>
      </c>
      <c r="I103" s="1">
        <v>120582</v>
      </c>
      <c r="J103" s="64">
        <f>IFERROR((I103/H103),0)</f>
        <v>13.438314944834504</v>
      </c>
      <c r="K103" s="90">
        <f>I103-F103</f>
        <v>95483.8</v>
      </c>
      <c r="L103" s="90">
        <f>(H103-E103)/1000</f>
        <v>6.6959999999999997</v>
      </c>
      <c r="M103" s="55" t="s">
        <v>1061</v>
      </c>
      <c r="O103" s="19">
        <f>K103/F103</f>
        <v>3.8044082842594289</v>
      </c>
      <c r="P103" s="19">
        <f>L103/(E103/1000)</f>
        <v>2.9407114624505928</v>
      </c>
      <c r="R103" s="20" t="s">
        <v>1300</v>
      </c>
      <c r="T103">
        <v>70627</v>
      </c>
      <c r="U103">
        <v>959537</v>
      </c>
      <c r="V103" s="18">
        <f>IFERROR((U103/T103),0)</f>
        <v>13.58597986605689</v>
      </c>
      <c r="W103" s="4">
        <f>F103-U103</f>
        <v>-934438.8</v>
      </c>
      <c r="X103" s="19">
        <f>W103/F103</f>
        <v>-37.231307424436814</v>
      </c>
      <c r="Y103" s="37" t="s">
        <v>1066</v>
      </c>
    </row>
    <row r="104" spans="1:25" x14ac:dyDescent="0.35">
      <c r="A104" t="s">
        <v>518</v>
      </c>
      <c r="B104" s="85" t="s">
        <v>1734</v>
      </c>
      <c r="C104" s="67" t="s">
        <v>438</v>
      </c>
      <c r="D104" s="68" t="s">
        <v>256</v>
      </c>
      <c r="E104" s="59">
        <v>0</v>
      </c>
      <c r="F104" s="59">
        <v>0</v>
      </c>
      <c r="G104" s="34">
        <f>IFERROR((F104/E104),0)</f>
        <v>0</v>
      </c>
      <c r="H104" s="1">
        <v>8434</v>
      </c>
      <c r="I104" s="1">
        <v>95294</v>
      </c>
      <c r="J104" s="64">
        <f>IFERROR((I104/H104),0)</f>
        <v>11.298790609437988</v>
      </c>
      <c r="K104" s="90">
        <f>I104-F104</f>
        <v>95294</v>
      </c>
      <c r="L104" s="90">
        <f>(H104-E104)/1000</f>
        <v>8.4339999999999993</v>
      </c>
      <c r="M104" s="55" t="s">
        <v>1061</v>
      </c>
      <c r="O104" s="19" t="e">
        <f>K104/F104</f>
        <v>#DIV/0!</v>
      </c>
      <c r="P104" s="19" t="e">
        <f>L104/(E104/1000)</f>
        <v>#DIV/0!</v>
      </c>
      <c r="R104" s="20" t="s">
        <v>1294</v>
      </c>
      <c r="T104">
        <v>46027</v>
      </c>
      <c r="U104">
        <v>416853</v>
      </c>
      <c r="V104" s="18">
        <f>IFERROR((U104/T104),0)</f>
        <v>9.0567058465683186</v>
      </c>
      <c r="W104" s="4">
        <f>F104-U104</f>
        <v>-416853</v>
      </c>
      <c r="X104" s="19" t="e">
        <f>W104/F104</f>
        <v>#DIV/0!</v>
      </c>
      <c r="Y104" s="37"/>
    </row>
    <row r="105" spans="1:25" x14ac:dyDescent="0.35">
      <c r="A105" t="s">
        <v>1423</v>
      </c>
      <c r="B105" s="66" t="s">
        <v>837</v>
      </c>
      <c r="C105" s="67" t="s">
        <v>1072</v>
      </c>
      <c r="D105" s="68" t="s">
        <v>381</v>
      </c>
      <c r="E105" s="60">
        <v>11346</v>
      </c>
      <c r="F105" s="60">
        <v>202005.7</v>
      </c>
      <c r="G105" s="34">
        <f>IFERROR((F105/E105),0)</f>
        <v>17.804133615371057</v>
      </c>
      <c r="H105" s="1">
        <v>20793</v>
      </c>
      <c r="I105" s="1">
        <v>295579</v>
      </c>
      <c r="J105" s="64">
        <f>IFERROR((I105/H105),0)</f>
        <v>14.215312845669215</v>
      </c>
      <c r="K105" s="90">
        <f>I105-F105</f>
        <v>93573.299999999988</v>
      </c>
      <c r="L105" s="90">
        <f>(H105-E105)/1000</f>
        <v>9.4469999999999992</v>
      </c>
      <c r="M105" s="55" t="s">
        <v>1061</v>
      </c>
      <c r="O105" s="19">
        <f>K105/F105</f>
        <v>0.46322108732575362</v>
      </c>
      <c r="P105" s="19">
        <f>L105/(E105/1000)</f>
        <v>0.83262823902696981</v>
      </c>
      <c r="R105" s="20" t="s">
        <v>1297</v>
      </c>
      <c r="W105" s="61"/>
      <c r="Y105" s="55"/>
    </row>
    <row r="106" spans="1:25" x14ac:dyDescent="0.35">
      <c r="A106" t="s">
        <v>393</v>
      </c>
      <c r="B106" s="66" t="s">
        <v>1061</v>
      </c>
      <c r="C106" s="67" t="s">
        <v>404</v>
      </c>
      <c r="D106" s="68" t="s">
        <v>44</v>
      </c>
      <c r="E106" s="59">
        <v>58858</v>
      </c>
      <c r="F106" s="59">
        <v>761628.8</v>
      </c>
      <c r="G106" s="34">
        <f>IFERROR((F106/E106),0)</f>
        <v>12.940106697475279</v>
      </c>
      <c r="H106" s="1">
        <v>65195</v>
      </c>
      <c r="I106" s="1">
        <v>854305</v>
      </c>
      <c r="J106" s="64">
        <f>IFERROR((I106/H106),0)</f>
        <v>13.103842319196257</v>
      </c>
      <c r="K106" s="90">
        <f>I106-F106</f>
        <v>92676.199999999953</v>
      </c>
      <c r="L106" s="90">
        <f>(H106-E106)/1000</f>
        <v>6.3369999999999997</v>
      </c>
      <c r="M106" s="55" t="s">
        <v>1061</v>
      </c>
      <c r="O106" s="19">
        <f>K106/F106</f>
        <v>0.12168158557029349</v>
      </c>
      <c r="P106" s="19">
        <f>L106/(E106/1000)</f>
        <v>0.10766590777804207</v>
      </c>
      <c r="R106" s="20" t="s">
        <v>1280</v>
      </c>
      <c r="T106">
        <v>0</v>
      </c>
      <c r="U106">
        <v>0</v>
      </c>
      <c r="V106" s="18">
        <f>IFERROR((U106/T106),0)</f>
        <v>0</v>
      </c>
      <c r="W106" s="4">
        <f>F106-U106</f>
        <v>761628.8</v>
      </c>
      <c r="X106" s="19">
        <f>W106/F106</f>
        <v>1</v>
      </c>
      <c r="Y106" s="37"/>
    </row>
    <row r="107" spans="1:25" x14ac:dyDescent="0.35">
      <c r="A107" t="s">
        <v>442</v>
      </c>
      <c r="B107" s="66" t="s">
        <v>1721</v>
      </c>
      <c r="C107" s="67" t="s">
        <v>1652</v>
      </c>
      <c r="D107" s="68" t="s">
        <v>1653</v>
      </c>
      <c r="E107" s="59">
        <v>0</v>
      </c>
      <c r="F107" s="59">
        <v>0</v>
      </c>
      <c r="G107" s="34">
        <f>IFERROR((F107/E107),0)</f>
        <v>0</v>
      </c>
      <c r="H107" s="1">
        <v>8614</v>
      </c>
      <c r="I107" s="1">
        <v>92450</v>
      </c>
      <c r="J107" s="64">
        <f>IFERROR((I107/H107),0)</f>
        <v>10.732528442071047</v>
      </c>
      <c r="K107" s="90">
        <f>I107-F107</f>
        <v>92450</v>
      </c>
      <c r="L107" s="90">
        <f>(H107-E107)/1000</f>
        <v>8.6140000000000008</v>
      </c>
      <c r="M107" s="55" t="s">
        <v>1061</v>
      </c>
      <c r="O107" s="19" t="e">
        <f>K107/F107</f>
        <v>#DIV/0!</v>
      </c>
      <c r="P107" s="19" t="e">
        <f>L107/(E107/1000)</f>
        <v>#DIV/0!</v>
      </c>
      <c r="R107" s="20" t="s">
        <v>1305</v>
      </c>
      <c r="W107" s="61"/>
      <c r="Y107" s="55"/>
    </row>
    <row r="108" spans="1:25" x14ac:dyDescent="0.35">
      <c r="A108" t="s">
        <v>1106</v>
      </c>
      <c r="B108" s="66" t="s">
        <v>1394</v>
      </c>
      <c r="C108" s="67" t="s">
        <v>1417</v>
      </c>
      <c r="D108" s="68" t="s">
        <v>1347</v>
      </c>
      <c r="E108" s="59">
        <v>1481</v>
      </c>
      <c r="F108" s="59">
        <v>29427.7</v>
      </c>
      <c r="G108" s="34">
        <f>IFERROR((F108/E108),0)</f>
        <v>19.870155300472653</v>
      </c>
      <c r="H108" s="1">
        <v>7301</v>
      </c>
      <c r="I108" s="1">
        <v>121071</v>
      </c>
      <c r="J108" s="64">
        <f>IFERROR((I108/H108),0)</f>
        <v>16.582796877140119</v>
      </c>
      <c r="K108" s="90">
        <f>I108-F108</f>
        <v>91643.3</v>
      </c>
      <c r="L108" s="90">
        <f>(H108-E108)/1000</f>
        <v>5.82</v>
      </c>
      <c r="M108" s="55" t="s">
        <v>1061</v>
      </c>
      <c r="O108" s="19">
        <f>K108/F108</f>
        <v>3.1141849346024326</v>
      </c>
      <c r="P108" s="19">
        <f>L108/(E108/1000)</f>
        <v>3.9297771775827144</v>
      </c>
      <c r="R108" s="20" t="s">
        <v>1294</v>
      </c>
      <c r="T108">
        <v>0</v>
      </c>
      <c r="U108">
        <v>0</v>
      </c>
      <c r="V108" s="18">
        <f>IFERROR((U108/T108),0)</f>
        <v>0</v>
      </c>
      <c r="W108" s="4">
        <f>F108-U108</f>
        <v>29427.7</v>
      </c>
      <c r="X108" s="19">
        <f>W108/F108</f>
        <v>1</v>
      </c>
      <c r="Y108" s="37"/>
    </row>
    <row r="109" spans="1:25" x14ac:dyDescent="0.35">
      <c r="A109" t="s">
        <v>1424</v>
      </c>
      <c r="B109" s="66" t="s">
        <v>1721</v>
      </c>
      <c r="C109" s="67" t="s">
        <v>1654</v>
      </c>
      <c r="D109" s="68" t="s">
        <v>1655</v>
      </c>
      <c r="E109" s="59">
        <v>0</v>
      </c>
      <c r="F109" s="59">
        <v>0</v>
      </c>
      <c r="G109" s="34">
        <f>IFERROR((F109/E109),0)</f>
        <v>0</v>
      </c>
      <c r="H109" s="1">
        <v>6456</v>
      </c>
      <c r="I109" s="1">
        <v>83375</v>
      </c>
      <c r="J109" s="64">
        <f>IFERROR((I109/H109),0)</f>
        <v>12.914343246592317</v>
      </c>
      <c r="K109" s="90">
        <f>I109-F109</f>
        <v>83375</v>
      </c>
      <c r="L109" s="90">
        <f>(H109-E109)/1000</f>
        <v>6.4560000000000004</v>
      </c>
      <c r="M109" s="55" t="s">
        <v>1061</v>
      </c>
      <c r="O109" s="19" t="e">
        <f>K109/F109</f>
        <v>#DIV/0!</v>
      </c>
      <c r="P109" s="19" t="e">
        <f>L109/(E109/1000)</f>
        <v>#DIV/0!</v>
      </c>
      <c r="R109" s="20" t="s">
        <v>1731</v>
      </c>
      <c r="W109" s="61"/>
      <c r="Y109" s="55"/>
    </row>
    <row r="110" spans="1:25" x14ac:dyDescent="0.35">
      <c r="A110" t="s">
        <v>391</v>
      </c>
      <c r="B110" s="66" t="s">
        <v>1721</v>
      </c>
      <c r="C110" s="67" t="s">
        <v>1656</v>
      </c>
      <c r="D110" s="68" t="s">
        <v>1657</v>
      </c>
      <c r="E110" s="59">
        <v>0</v>
      </c>
      <c r="F110" s="59">
        <v>0</v>
      </c>
      <c r="G110" s="34">
        <f>IFERROR((F110/E110),0)</f>
        <v>0</v>
      </c>
      <c r="H110" s="1">
        <v>7698</v>
      </c>
      <c r="I110" s="1">
        <v>82502</v>
      </c>
      <c r="J110" s="64">
        <f>IFERROR((I110/H110),0)</f>
        <v>10.717329176409457</v>
      </c>
      <c r="K110" s="90">
        <f>I110-F110</f>
        <v>82502</v>
      </c>
      <c r="L110" s="90">
        <f>(H110-E110)/1000</f>
        <v>7.6980000000000004</v>
      </c>
      <c r="M110" s="55" t="s">
        <v>1061</v>
      </c>
      <c r="O110" s="19" t="e">
        <f>K110/F110</f>
        <v>#DIV/0!</v>
      </c>
      <c r="P110" s="19" t="e">
        <f>L110/(E110/1000)</f>
        <v>#DIV/0!</v>
      </c>
      <c r="R110" s="20" t="s">
        <v>1294</v>
      </c>
      <c r="T110">
        <v>4358</v>
      </c>
      <c r="U110">
        <v>108300</v>
      </c>
      <c r="V110" s="18">
        <f>IFERROR((U110/T110),0)</f>
        <v>24.850849013308856</v>
      </c>
      <c r="W110" s="4">
        <f>F110-U110</f>
        <v>-108300</v>
      </c>
      <c r="X110" s="19" t="e">
        <f>W110/F110</f>
        <v>#DIV/0!</v>
      </c>
      <c r="Y110" s="37"/>
    </row>
    <row r="111" spans="1:25" x14ac:dyDescent="0.35">
      <c r="A111" t="s">
        <v>675</v>
      </c>
      <c r="B111" s="66" t="s">
        <v>1721</v>
      </c>
      <c r="C111" s="67" t="s">
        <v>1658</v>
      </c>
      <c r="D111" s="68" t="s">
        <v>1659</v>
      </c>
      <c r="E111" s="59">
        <v>0</v>
      </c>
      <c r="F111" s="59">
        <v>0</v>
      </c>
      <c r="G111" s="34">
        <f>IFERROR((F111/E111),0)</f>
        <v>0</v>
      </c>
      <c r="H111" s="1">
        <v>1066</v>
      </c>
      <c r="I111" s="1">
        <v>80955</v>
      </c>
      <c r="J111" s="64">
        <f>IFERROR((I111/H111),0)</f>
        <v>75.94277673545966</v>
      </c>
      <c r="K111" s="90">
        <f>I111-F111</f>
        <v>80955</v>
      </c>
      <c r="L111" s="90">
        <f>(H111-E111)/1000</f>
        <v>1.0660000000000001</v>
      </c>
      <c r="M111" s="55" t="s">
        <v>1061</v>
      </c>
      <c r="O111" s="19" t="e">
        <f>K111/F111</f>
        <v>#DIV/0!</v>
      </c>
      <c r="P111" s="19" t="e">
        <f>L111/(E111/1000)</f>
        <v>#DIV/0!</v>
      </c>
      <c r="R111" s="20" t="s">
        <v>1732</v>
      </c>
      <c r="T111">
        <v>0</v>
      </c>
      <c r="U111">
        <v>0</v>
      </c>
      <c r="V111" s="18">
        <f>IFERROR((U111/T111),0)</f>
        <v>0</v>
      </c>
      <c r="W111" s="4">
        <f>F111-U111</f>
        <v>0</v>
      </c>
      <c r="X111" s="19" t="e">
        <f>W111/F111</f>
        <v>#DIV/0!</v>
      </c>
      <c r="Y111" s="37"/>
    </row>
    <row r="112" spans="1:25" x14ac:dyDescent="0.35">
      <c r="A112" t="s">
        <v>985</v>
      </c>
      <c r="B112" s="66" t="s">
        <v>1721</v>
      </c>
      <c r="C112" s="67" t="s">
        <v>1660</v>
      </c>
      <c r="D112" s="68" t="s">
        <v>1661</v>
      </c>
      <c r="E112" s="59">
        <v>0</v>
      </c>
      <c r="F112" s="59">
        <v>0</v>
      </c>
      <c r="G112" s="34">
        <f>IFERROR((F112/E112),0)</f>
        <v>0</v>
      </c>
      <c r="H112" s="1">
        <v>5965</v>
      </c>
      <c r="I112" s="1">
        <v>80038</v>
      </c>
      <c r="J112" s="64">
        <f>IFERROR((I112/H112),0)</f>
        <v>13.41793797150042</v>
      </c>
      <c r="K112" s="90">
        <f>I112-F112</f>
        <v>80038</v>
      </c>
      <c r="L112" s="90">
        <f>(H112-E112)/1000</f>
        <v>5.9649999999999999</v>
      </c>
      <c r="M112" s="55" t="s">
        <v>1061</v>
      </c>
      <c r="O112" s="19" t="e">
        <f>K112/F112</f>
        <v>#DIV/0!</v>
      </c>
      <c r="P112" s="19" t="e">
        <f>L112/(E112/1000)</f>
        <v>#DIV/0!</v>
      </c>
      <c r="R112" s="20" t="s">
        <v>1294</v>
      </c>
      <c r="W112" s="61"/>
      <c r="Y112" s="55"/>
    </row>
    <row r="113" spans="1:25" x14ac:dyDescent="0.35">
      <c r="A113" t="s">
        <v>1138</v>
      </c>
      <c r="B113" s="66" t="s">
        <v>1721</v>
      </c>
      <c r="C113" s="67" t="s">
        <v>1662</v>
      </c>
      <c r="D113" s="68" t="s">
        <v>1663</v>
      </c>
      <c r="E113" s="59">
        <v>0</v>
      </c>
      <c r="F113" s="59">
        <v>0</v>
      </c>
      <c r="G113" s="34">
        <f>IFERROR((F113/E113),0)</f>
        <v>0</v>
      </c>
      <c r="H113" s="1">
        <v>9748</v>
      </c>
      <c r="I113" s="1">
        <v>70360</v>
      </c>
      <c r="J113" s="64">
        <f>IFERROR((I113/H113),0)</f>
        <v>7.2178908494050065</v>
      </c>
      <c r="K113" s="90">
        <f>I113-F113</f>
        <v>70360</v>
      </c>
      <c r="L113" s="90">
        <f>(H113-E113)/1000</f>
        <v>9.7479999999999993</v>
      </c>
      <c r="M113" s="55" t="s">
        <v>1061</v>
      </c>
      <c r="O113" s="19" t="e">
        <f>K113/F113</f>
        <v>#DIV/0!</v>
      </c>
      <c r="P113" s="19" t="e">
        <f>L113/(E113/1000)</f>
        <v>#DIV/0!</v>
      </c>
      <c r="R113" s="20" t="s">
        <v>1299</v>
      </c>
      <c r="T113">
        <v>23224</v>
      </c>
      <c r="U113">
        <v>333149</v>
      </c>
      <c r="V113" s="18">
        <f>IFERROR((U113/T113),0)</f>
        <v>14.345031002411298</v>
      </c>
      <c r="W113" s="4">
        <f>F113-U113</f>
        <v>-333149</v>
      </c>
      <c r="X113" s="19" t="e">
        <f>W113/F113</f>
        <v>#DIV/0!</v>
      </c>
      <c r="Y113" s="37" t="s">
        <v>1066</v>
      </c>
    </row>
    <row r="114" spans="1:25" x14ac:dyDescent="0.35">
      <c r="A114" t="s">
        <v>571</v>
      </c>
      <c r="B114" s="66" t="s">
        <v>1394</v>
      </c>
      <c r="C114" s="67" t="s">
        <v>1456</v>
      </c>
      <c r="D114" s="68" t="s">
        <v>1373</v>
      </c>
      <c r="E114" s="60">
        <v>5782</v>
      </c>
      <c r="F114" s="60">
        <v>79485.33</v>
      </c>
      <c r="G114" s="34">
        <f>IFERROR((F114/E114),0)</f>
        <v>13.747030439294361</v>
      </c>
      <c r="H114" s="1">
        <v>9517</v>
      </c>
      <c r="I114" s="1">
        <v>141620</v>
      </c>
      <c r="J114" s="64">
        <f>IFERROR((I114/H114),0)</f>
        <v>14.880739728906168</v>
      </c>
      <c r="K114" s="90">
        <f>I114-F114</f>
        <v>62134.67</v>
      </c>
      <c r="L114" s="90">
        <f>(H114-E114)/1000</f>
        <v>3.7349999999999999</v>
      </c>
      <c r="M114" s="55" t="s">
        <v>1061</v>
      </c>
      <c r="O114" s="19">
        <f>K114/F114</f>
        <v>0.78171242416682418</v>
      </c>
      <c r="P114" s="19">
        <f>L114/(E114/1000)</f>
        <v>0.64597025250778273</v>
      </c>
      <c r="R114" s="20" t="s">
        <v>1288</v>
      </c>
      <c r="W114" s="61"/>
      <c r="Y114" s="55"/>
    </row>
    <row r="115" spans="1:25" x14ac:dyDescent="0.35">
      <c r="A115" t="s">
        <v>754</v>
      </c>
      <c r="B115" s="66" t="s">
        <v>976</v>
      </c>
      <c r="C115" s="67" t="s">
        <v>863</v>
      </c>
      <c r="D115" s="68" t="s">
        <v>864</v>
      </c>
      <c r="E115" s="60">
        <v>27211</v>
      </c>
      <c r="F115" s="60">
        <v>304199.40000000002</v>
      </c>
      <c r="G115" s="34">
        <f>IFERROR((F115/E115),0)</f>
        <v>11.179280438058139</v>
      </c>
      <c r="H115" s="1">
        <v>31413</v>
      </c>
      <c r="I115" s="1">
        <v>365839</v>
      </c>
      <c r="J115" s="64">
        <f>IFERROR((I115/H115),0)</f>
        <v>11.646101932321013</v>
      </c>
      <c r="K115" s="90">
        <f>I115-F115</f>
        <v>61639.599999999977</v>
      </c>
      <c r="L115" s="90">
        <f>(H115-E115)/1000</f>
        <v>4.202</v>
      </c>
      <c r="M115" s="55" t="s">
        <v>1061</v>
      </c>
      <c r="O115" s="19">
        <f>K115/F115</f>
        <v>0.20262893352189376</v>
      </c>
      <c r="P115" s="19">
        <f>L115/(E115/1000)</f>
        <v>0.15442284370291426</v>
      </c>
      <c r="R115" s="20" t="s">
        <v>1298</v>
      </c>
      <c r="T115">
        <v>0</v>
      </c>
      <c r="U115">
        <v>0</v>
      </c>
      <c r="V115" s="18">
        <f>IFERROR((U115/T115),0)</f>
        <v>0</v>
      </c>
      <c r="W115" s="4">
        <f>F115-U115</f>
        <v>304199.40000000002</v>
      </c>
      <c r="X115" s="19">
        <f>W115/F115</f>
        <v>1</v>
      </c>
      <c r="Y115" s="37"/>
    </row>
    <row r="116" spans="1:25" x14ac:dyDescent="0.35">
      <c r="A116" t="s">
        <v>701</v>
      </c>
      <c r="B116" s="66" t="s">
        <v>1061</v>
      </c>
      <c r="C116" s="67" t="s">
        <v>628</v>
      </c>
      <c r="D116" s="68" t="s">
        <v>148</v>
      </c>
      <c r="E116" s="60">
        <v>3510</v>
      </c>
      <c r="F116" s="60">
        <v>115035.4</v>
      </c>
      <c r="G116" s="34">
        <f>IFERROR((F116/E116),0)</f>
        <v>32.77361823361823</v>
      </c>
      <c r="H116" s="1">
        <v>6119</v>
      </c>
      <c r="I116" s="1">
        <v>175863</v>
      </c>
      <c r="J116" s="64">
        <f>IFERROR((I116/H116),0)</f>
        <v>28.74048047066514</v>
      </c>
      <c r="K116" s="90">
        <f>I116-F116</f>
        <v>60827.600000000006</v>
      </c>
      <c r="L116" s="90">
        <f>(H116-E116)/1000</f>
        <v>2.609</v>
      </c>
      <c r="M116" s="55" t="s">
        <v>1061</v>
      </c>
      <c r="O116" s="19">
        <f>K116/F116</f>
        <v>0.52877288208673168</v>
      </c>
      <c r="P116" s="19">
        <f>L116/(E116/1000)</f>
        <v>0.74330484330484337</v>
      </c>
      <c r="R116" s="20" t="s">
        <v>1601</v>
      </c>
      <c r="W116" s="61"/>
      <c r="Y116" s="55"/>
    </row>
    <row r="117" spans="1:25" x14ac:dyDescent="0.35">
      <c r="A117" t="s">
        <v>559</v>
      </c>
      <c r="B117" s="66" t="s">
        <v>828</v>
      </c>
      <c r="C117" s="67" t="s">
        <v>1014</v>
      </c>
      <c r="D117" s="68" t="s">
        <v>272</v>
      </c>
      <c r="E117" s="60">
        <v>677</v>
      </c>
      <c r="F117" s="60">
        <v>12579.45</v>
      </c>
      <c r="G117" s="34">
        <f>IFERROR((F117/E117),0)</f>
        <v>18.581166912850815</v>
      </c>
      <c r="H117" s="1">
        <v>5384</v>
      </c>
      <c r="I117" s="1">
        <v>72156</v>
      </c>
      <c r="J117" s="64">
        <f>IFERROR((I117/H117),0)</f>
        <v>13.401931649331353</v>
      </c>
      <c r="K117" s="90">
        <f>I117-F117</f>
        <v>59576.55</v>
      </c>
      <c r="L117" s="90">
        <f>(H117-E117)/1000</f>
        <v>4.7069999999999999</v>
      </c>
      <c r="M117" s="55" t="s">
        <v>1061</v>
      </c>
      <c r="O117" s="19">
        <f>K117/F117</f>
        <v>4.7360218451522123</v>
      </c>
      <c r="P117" s="19">
        <f>L117/(E117/1000)</f>
        <v>6.9527326440177246</v>
      </c>
      <c r="R117" s="20" t="s">
        <v>1303</v>
      </c>
      <c r="T117">
        <v>0</v>
      </c>
      <c r="U117">
        <v>0</v>
      </c>
      <c r="V117" s="18">
        <f>IFERROR((U117/T117),0)</f>
        <v>0</v>
      </c>
      <c r="W117" s="4">
        <f>F117-U117</f>
        <v>12579.45</v>
      </c>
      <c r="X117" s="19">
        <f>W117/F117</f>
        <v>1</v>
      </c>
      <c r="Y117" s="37"/>
    </row>
    <row r="118" spans="1:25" x14ac:dyDescent="0.35">
      <c r="A118" t="s">
        <v>446</v>
      </c>
      <c r="B118" s="66" t="s">
        <v>1596</v>
      </c>
      <c r="C118" s="67" t="s">
        <v>605</v>
      </c>
      <c r="D118" s="68" t="s">
        <v>276</v>
      </c>
      <c r="E118" s="60">
        <v>4151</v>
      </c>
      <c r="F118" s="60">
        <v>59483.01</v>
      </c>
      <c r="G118" s="34">
        <f>IFERROR((F118/E118),0)</f>
        <v>14.32980245723922</v>
      </c>
      <c r="H118" s="1">
        <v>7485</v>
      </c>
      <c r="I118" s="1">
        <v>117092</v>
      </c>
      <c r="J118" s="64">
        <f>IFERROR((I118/H118),0)</f>
        <v>15.643553774215096</v>
      </c>
      <c r="K118" s="90">
        <f>I118-F118</f>
        <v>57608.99</v>
      </c>
      <c r="L118" s="90">
        <f>(H118-E118)/1000</f>
        <v>3.3340000000000001</v>
      </c>
      <c r="M118" s="55" t="s">
        <v>1061</v>
      </c>
      <c r="O118" s="19">
        <f>K118/F118</f>
        <v>0.9684948693753056</v>
      </c>
      <c r="P118" s="19">
        <f>L118/(E118/1000)</f>
        <v>0.80317995663695496</v>
      </c>
      <c r="R118" s="20" t="s">
        <v>1293</v>
      </c>
      <c r="T118">
        <v>0</v>
      </c>
      <c r="U118">
        <v>0</v>
      </c>
      <c r="V118" s="18">
        <f>IFERROR((U118/T118),0)</f>
        <v>0</v>
      </c>
      <c r="W118" s="4">
        <f>F118-U118</f>
        <v>59483.01</v>
      </c>
      <c r="X118" s="19">
        <f>W118/F118</f>
        <v>1</v>
      </c>
      <c r="Y118" s="37"/>
    </row>
    <row r="119" spans="1:25" x14ac:dyDescent="0.35">
      <c r="A119" t="s">
        <v>600</v>
      </c>
      <c r="B119" s="66" t="s">
        <v>834</v>
      </c>
      <c r="C119" s="67" t="s">
        <v>519</v>
      </c>
      <c r="D119" s="68" t="s">
        <v>1254</v>
      </c>
      <c r="E119" s="60">
        <v>725</v>
      </c>
      <c r="F119" s="60">
        <v>8126</v>
      </c>
      <c r="G119" s="34">
        <f>IFERROR((F119/E119),0)</f>
        <v>11.208275862068966</v>
      </c>
      <c r="H119" s="1">
        <v>5714</v>
      </c>
      <c r="I119" s="1">
        <v>61764</v>
      </c>
      <c r="J119" s="64">
        <f>IFERROR((I119/H119),0)</f>
        <v>10.809240462023102</v>
      </c>
      <c r="K119" s="90">
        <f>I119-F119</f>
        <v>53638</v>
      </c>
      <c r="L119" s="90">
        <f>(H119-E119)/1000</f>
        <v>4.9889999999999999</v>
      </c>
      <c r="M119" s="55" t="s">
        <v>1061</v>
      </c>
      <c r="O119" s="19">
        <f>K119/F119</f>
        <v>6.6007875953728776</v>
      </c>
      <c r="P119" s="19">
        <f>L119/(E119/1000)</f>
        <v>6.881379310344828</v>
      </c>
      <c r="R119" s="20" t="s">
        <v>1291</v>
      </c>
      <c r="W119" s="61"/>
      <c r="Y119" s="55"/>
    </row>
    <row r="120" spans="1:25" x14ac:dyDescent="0.35">
      <c r="A120" t="s">
        <v>1092</v>
      </c>
      <c r="B120" s="66" t="s">
        <v>822</v>
      </c>
      <c r="C120" s="67" t="s">
        <v>684</v>
      </c>
      <c r="D120" s="68" t="s">
        <v>120</v>
      </c>
      <c r="E120" s="60">
        <v>11843</v>
      </c>
      <c r="F120" s="60">
        <v>127083.8</v>
      </c>
      <c r="G120" s="34">
        <f>IFERROR((F120/E120),0)</f>
        <v>10.730710124123956</v>
      </c>
      <c r="H120" s="1">
        <v>17770</v>
      </c>
      <c r="I120" s="1">
        <v>180367</v>
      </c>
      <c r="J120" s="64">
        <f>IFERROR((I120/H120),0)</f>
        <v>10.150084411930219</v>
      </c>
      <c r="K120" s="90">
        <f>I120-F120</f>
        <v>53283.199999999997</v>
      </c>
      <c r="L120" s="90">
        <f>(H120-E120)/1000</f>
        <v>5.9269999999999996</v>
      </c>
      <c r="M120" s="55" t="s">
        <v>1061</v>
      </c>
      <c r="O120" s="19">
        <f>K120/F120</f>
        <v>0.41927609970743712</v>
      </c>
      <c r="P120" s="19">
        <f>L120/(E120/1000)</f>
        <v>0.50046440935573755</v>
      </c>
      <c r="R120" s="20" t="s">
        <v>1601</v>
      </c>
      <c r="T120">
        <v>0</v>
      </c>
      <c r="U120">
        <v>0</v>
      </c>
      <c r="V120" s="18">
        <f>IFERROR((U120/T120),0)</f>
        <v>0</v>
      </c>
      <c r="W120" s="4">
        <f>F120-U120</f>
        <v>127083.8</v>
      </c>
      <c r="X120" s="19">
        <f>W120/F120</f>
        <v>1</v>
      </c>
      <c r="Y120" s="37"/>
    </row>
    <row r="121" spans="1:25" x14ac:dyDescent="0.35">
      <c r="A121" t="s">
        <v>1148</v>
      </c>
      <c r="B121" s="66" t="s">
        <v>1721</v>
      </c>
      <c r="C121" s="67" t="s">
        <v>1664</v>
      </c>
      <c r="D121" s="68" t="s">
        <v>1665</v>
      </c>
      <c r="E121" s="59">
        <v>0</v>
      </c>
      <c r="F121" s="59">
        <v>0</v>
      </c>
      <c r="G121" s="34">
        <f>IFERROR((F121/E121),0)</f>
        <v>0</v>
      </c>
      <c r="H121" s="1">
        <v>2628</v>
      </c>
      <c r="I121" s="1">
        <v>52053</v>
      </c>
      <c r="J121" s="64">
        <f>IFERROR((I121/H121),0)</f>
        <v>19.807077625570777</v>
      </c>
      <c r="K121" s="90">
        <f>I121-F121</f>
        <v>52053</v>
      </c>
      <c r="L121" s="90">
        <f>(H121-E121)/1000</f>
        <v>2.6280000000000001</v>
      </c>
      <c r="M121" s="55" t="s">
        <v>1061</v>
      </c>
      <c r="O121" s="19" t="e">
        <f>K121/F121</f>
        <v>#DIV/0!</v>
      </c>
      <c r="P121" s="19" t="e">
        <f>L121/(E121/1000)</f>
        <v>#DIV/0!</v>
      </c>
      <c r="R121" s="20" t="s">
        <v>1297</v>
      </c>
      <c r="T121">
        <v>0</v>
      </c>
      <c r="U121">
        <v>0</v>
      </c>
      <c r="V121" s="18">
        <f>IFERROR((U121/T121),0)</f>
        <v>0</v>
      </c>
      <c r="W121" s="4">
        <f>F121-U121</f>
        <v>0</v>
      </c>
      <c r="X121" s="19" t="e">
        <f>W121/F121</f>
        <v>#DIV/0!</v>
      </c>
      <c r="Y121" s="37"/>
    </row>
    <row r="122" spans="1:25" x14ac:dyDescent="0.35">
      <c r="A122" t="s">
        <v>634</v>
      </c>
      <c r="B122" s="66" t="s">
        <v>812</v>
      </c>
      <c r="C122" s="67" t="s">
        <v>468</v>
      </c>
      <c r="D122" s="68" t="s">
        <v>54</v>
      </c>
      <c r="E122" s="60">
        <v>41567</v>
      </c>
      <c r="F122" s="60">
        <v>865436</v>
      </c>
      <c r="G122" s="34">
        <f>IFERROR((F122/E122),0)</f>
        <v>20.820266076454882</v>
      </c>
      <c r="H122" s="1">
        <v>45480</v>
      </c>
      <c r="I122" s="1">
        <v>916431</v>
      </c>
      <c r="J122" s="64">
        <f>IFERROR((I122/H122),0)</f>
        <v>20.150197889182056</v>
      </c>
      <c r="K122" s="90">
        <f>I122-F122</f>
        <v>50995</v>
      </c>
      <c r="L122" s="90">
        <f>(H122-E122)/1000</f>
        <v>3.9129999999999998</v>
      </c>
      <c r="M122" s="55" t="s">
        <v>1061</v>
      </c>
      <c r="O122" s="19">
        <f>K122/F122</f>
        <v>5.8924056776006546E-2</v>
      </c>
      <c r="P122" s="19">
        <f>L122/(E122/1000)</f>
        <v>9.4137176125291697E-2</v>
      </c>
      <c r="R122" s="20" t="s">
        <v>1601</v>
      </c>
      <c r="T122">
        <v>1682</v>
      </c>
      <c r="U122">
        <v>19069</v>
      </c>
      <c r="V122" s="18">
        <f>IFERROR((U122/T122),0)</f>
        <v>11.337098692033294</v>
      </c>
      <c r="W122" s="4">
        <f>F122-U122</f>
        <v>846367</v>
      </c>
      <c r="X122" s="19">
        <f>W122/F122</f>
        <v>0.97796601943991235</v>
      </c>
      <c r="Y122" s="37"/>
    </row>
    <row r="123" spans="1:25" x14ac:dyDescent="0.35">
      <c r="A123" t="s">
        <v>433</v>
      </c>
      <c r="B123" s="66" t="s">
        <v>1061</v>
      </c>
      <c r="C123" s="67" t="s">
        <v>597</v>
      </c>
      <c r="D123" s="68" t="s">
        <v>153</v>
      </c>
      <c r="E123" s="60">
        <v>44</v>
      </c>
      <c r="F123" s="60">
        <v>550.20000000000005</v>
      </c>
      <c r="G123" s="34">
        <f>IFERROR((F123/E123),0)</f>
        <v>12.504545454545456</v>
      </c>
      <c r="H123" s="1">
        <v>4270</v>
      </c>
      <c r="I123" s="1">
        <v>51131</v>
      </c>
      <c r="J123" s="64">
        <f>IFERROR((I123/H123),0)</f>
        <v>11.974473067915691</v>
      </c>
      <c r="K123" s="90">
        <f>I123-F123</f>
        <v>50580.800000000003</v>
      </c>
      <c r="L123" s="90">
        <f>(H123-E123)/1000</f>
        <v>4.226</v>
      </c>
      <c r="M123" s="55" t="s">
        <v>1061</v>
      </c>
      <c r="O123" s="19">
        <f>K123/F123</f>
        <v>91.931661214103954</v>
      </c>
      <c r="P123" s="19">
        <f>L123/(E123/1000)</f>
        <v>96.045454545454547</v>
      </c>
      <c r="R123" s="20" t="s">
        <v>1305</v>
      </c>
      <c r="W123" s="61"/>
      <c r="Y123" s="55"/>
    </row>
    <row r="124" spans="1:25" x14ac:dyDescent="0.35">
      <c r="A124" t="s">
        <v>599</v>
      </c>
      <c r="B124" s="66" t="s">
        <v>1061</v>
      </c>
      <c r="C124" s="67" t="s">
        <v>553</v>
      </c>
      <c r="D124" s="68" t="s">
        <v>1250</v>
      </c>
      <c r="E124" s="60">
        <v>4308</v>
      </c>
      <c r="F124" s="60">
        <v>64649.53</v>
      </c>
      <c r="G124" s="34">
        <f>IFERROR((F124/E124),0)</f>
        <v>15.006854688950789</v>
      </c>
      <c r="H124" s="1">
        <v>6850</v>
      </c>
      <c r="I124" s="1">
        <v>113193</v>
      </c>
      <c r="J124" s="64">
        <f>IFERROR((I124/H124),0)</f>
        <v>16.524525547445254</v>
      </c>
      <c r="K124" s="90">
        <f>I124-F124</f>
        <v>48543.47</v>
      </c>
      <c r="L124" s="90">
        <f>(H124-E124)/1000</f>
        <v>2.5419999999999998</v>
      </c>
      <c r="M124" s="55" t="s">
        <v>1061</v>
      </c>
      <c r="O124" s="19">
        <f>K124/F124</f>
        <v>0.75087119736214636</v>
      </c>
      <c r="P124" s="19">
        <f>L124/(E124/1000)</f>
        <v>0.59006499535747448</v>
      </c>
      <c r="R124" s="20" t="s">
        <v>1601</v>
      </c>
      <c r="W124" s="61"/>
      <c r="Y124" s="55"/>
    </row>
    <row r="125" spans="1:25" x14ac:dyDescent="0.35">
      <c r="A125" t="s">
        <v>1099</v>
      </c>
      <c r="B125" s="66" t="s">
        <v>1595</v>
      </c>
      <c r="C125" s="67" t="s">
        <v>1493</v>
      </c>
      <c r="D125" s="68" t="s">
        <v>1544</v>
      </c>
      <c r="E125" s="60">
        <v>2913</v>
      </c>
      <c r="F125" s="60">
        <v>79870.880000000005</v>
      </c>
      <c r="G125" s="34">
        <f>IFERROR((F125/E125),0)</f>
        <v>27.41877102643323</v>
      </c>
      <c r="H125" s="1">
        <v>10576</v>
      </c>
      <c r="I125" s="1">
        <v>128017</v>
      </c>
      <c r="J125" s="64">
        <f>IFERROR((I125/H125),0)</f>
        <v>12.104481845688351</v>
      </c>
      <c r="K125" s="90">
        <f>I125-F125</f>
        <v>48146.119999999995</v>
      </c>
      <c r="L125" s="90">
        <f>(H125-E125)/1000</f>
        <v>7.6630000000000003</v>
      </c>
      <c r="M125" s="55" t="s">
        <v>1061</v>
      </c>
      <c r="O125" s="19">
        <f>K125/F125</f>
        <v>0.60279941826107331</v>
      </c>
      <c r="P125" s="19">
        <f>L125/(E125/1000)</f>
        <v>2.6306213525575011</v>
      </c>
      <c r="R125" s="20" t="s">
        <v>1299</v>
      </c>
      <c r="W125" s="61"/>
      <c r="Y125" s="55"/>
    </row>
    <row r="126" spans="1:25" x14ac:dyDescent="0.35">
      <c r="A126" t="s">
        <v>651</v>
      </c>
      <c r="B126" s="66" t="s">
        <v>1721</v>
      </c>
      <c r="C126" s="67" t="s">
        <v>1666</v>
      </c>
      <c r="D126" s="68" t="s">
        <v>1667</v>
      </c>
      <c r="E126" s="59">
        <v>0</v>
      </c>
      <c r="F126" s="59">
        <v>0</v>
      </c>
      <c r="G126" s="34">
        <f>IFERROR((F126/E126),0)</f>
        <v>0</v>
      </c>
      <c r="H126" s="1">
        <v>6012</v>
      </c>
      <c r="I126" s="1">
        <v>46867</v>
      </c>
      <c r="J126" s="64">
        <f>IFERROR((I126/H126),0)</f>
        <v>7.7955755156353961</v>
      </c>
      <c r="K126" s="90">
        <f>I126-F126</f>
        <v>46867</v>
      </c>
      <c r="L126" s="90">
        <f>(H126-E126)/1000</f>
        <v>6.0119999999999996</v>
      </c>
      <c r="M126" s="55" t="s">
        <v>1061</v>
      </c>
      <c r="O126" s="19" t="e">
        <f>K126/F126</f>
        <v>#DIV/0!</v>
      </c>
      <c r="P126" s="19" t="e">
        <f>L126/(E126/1000)</f>
        <v>#DIV/0!</v>
      </c>
      <c r="R126" s="20" t="s">
        <v>1305</v>
      </c>
      <c r="W126" s="61"/>
      <c r="Y126" s="55"/>
    </row>
    <row r="127" spans="1:25" x14ac:dyDescent="0.35">
      <c r="A127" t="s">
        <v>1425</v>
      </c>
      <c r="B127" s="66" t="s">
        <v>1721</v>
      </c>
      <c r="C127" s="67" t="s">
        <v>1668</v>
      </c>
      <c r="D127" s="68" t="s">
        <v>1669</v>
      </c>
      <c r="E127" s="59">
        <v>0</v>
      </c>
      <c r="F127" s="59">
        <v>0</v>
      </c>
      <c r="G127" s="34">
        <f>IFERROR((F127/E127),0)</f>
        <v>0</v>
      </c>
      <c r="H127" s="1">
        <v>3954</v>
      </c>
      <c r="I127" s="1">
        <v>46393</v>
      </c>
      <c r="J127" s="64">
        <f>IFERROR((I127/H127),0)</f>
        <v>11.733181588265047</v>
      </c>
      <c r="K127" s="90">
        <f>I127-F127</f>
        <v>46393</v>
      </c>
      <c r="L127" s="90">
        <f>(H127-E127)/1000</f>
        <v>3.9540000000000002</v>
      </c>
      <c r="M127" s="55" t="s">
        <v>1061</v>
      </c>
      <c r="O127" s="19" t="e">
        <f>K127/F127</f>
        <v>#DIV/0!</v>
      </c>
      <c r="P127" s="19" t="e">
        <f>L127/(E127/1000)</f>
        <v>#DIV/0!</v>
      </c>
      <c r="R127" s="20" t="s">
        <v>1733</v>
      </c>
      <c r="W127" s="61"/>
      <c r="Y127" s="55"/>
    </row>
    <row r="128" spans="1:25" x14ac:dyDescent="0.35">
      <c r="A128" t="s">
        <v>1127</v>
      </c>
      <c r="B128" s="66" t="s">
        <v>1394</v>
      </c>
      <c r="C128" s="67" t="s">
        <v>1422</v>
      </c>
      <c r="D128" s="68" t="s">
        <v>1385</v>
      </c>
      <c r="E128" s="60">
        <v>2751</v>
      </c>
      <c r="F128" s="60">
        <v>69270.27</v>
      </c>
      <c r="G128" s="34">
        <f>IFERROR((F128/E128),0)</f>
        <v>25.180032715376228</v>
      </c>
      <c r="H128" s="1">
        <v>3989</v>
      </c>
      <c r="I128" s="1">
        <v>115162</v>
      </c>
      <c r="J128" s="64">
        <f>IFERROR((I128/H128),0)</f>
        <v>28.86989220355979</v>
      </c>
      <c r="K128" s="90">
        <f>I128-F128</f>
        <v>45891.729999999996</v>
      </c>
      <c r="L128" s="90">
        <f>(H128-E128)/1000</f>
        <v>1.238</v>
      </c>
      <c r="M128" s="55" t="s">
        <v>1061</v>
      </c>
      <c r="O128" s="19">
        <f>K128/F128</f>
        <v>0.66250254257706798</v>
      </c>
      <c r="P128" s="19">
        <f>L128/(E128/1000)</f>
        <v>0.45001817520901494</v>
      </c>
      <c r="R128" s="20" t="s">
        <v>1297</v>
      </c>
      <c r="T128">
        <v>24</v>
      </c>
      <c r="U128">
        <v>361</v>
      </c>
      <c r="V128" s="18">
        <f>IFERROR((U128/T128),0)</f>
        <v>15.041666666666666</v>
      </c>
      <c r="W128" s="4">
        <f>F128-U128</f>
        <v>68909.27</v>
      </c>
      <c r="X128" s="19">
        <f>W128/F128</f>
        <v>0.99478852904716553</v>
      </c>
      <c r="Y128" s="37"/>
    </row>
    <row r="129" spans="1:25" x14ac:dyDescent="0.35">
      <c r="A129" t="s">
        <v>439</v>
      </c>
      <c r="B129" s="66" t="s">
        <v>1394</v>
      </c>
      <c r="C129" s="67" t="s">
        <v>1403</v>
      </c>
      <c r="D129" s="68" t="s">
        <v>1340</v>
      </c>
      <c r="E129" s="60">
        <v>4161</v>
      </c>
      <c r="F129" s="60">
        <v>48896.79</v>
      </c>
      <c r="G129" s="34">
        <f>IFERROR((F129/E129),0)</f>
        <v>11.751211247296323</v>
      </c>
      <c r="H129" s="1">
        <v>9214</v>
      </c>
      <c r="I129" s="1">
        <v>94639</v>
      </c>
      <c r="J129" s="64">
        <f>IFERROR((I129/H129),0)</f>
        <v>10.271217712177123</v>
      </c>
      <c r="K129" s="90">
        <f>I129-F129</f>
        <v>45742.21</v>
      </c>
      <c r="L129" s="90">
        <f>(H129-E129)/1000</f>
        <v>5.0529999999999999</v>
      </c>
      <c r="M129" s="55" t="s">
        <v>1061</v>
      </c>
      <c r="O129" s="19">
        <f>K129/F129</f>
        <v>0.93548492651562609</v>
      </c>
      <c r="P129" s="19">
        <f>L129/(E129/1000)</f>
        <v>1.2143715453016104</v>
      </c>
      <c r="R129" s="20" t="s">
        <v>1310</v>
      </c>
      <c r="T129">
        <v>0</v>
      </c>
      <c r="U129">
        <v>0</v>
      </c>
      <c r="V129" s="18">
        <f>IFERROR((U129/T129),0)</f>
        <v>0</v>
      </c>
      <c r="W129" s="4">
        <f>F129-U129</f>
        <v>48896.79</v>
      </c>
      <c r="X129" s="19">
        <f>W129/F129</f>
        <v>1</v>
      </c>
      <c r="Y129" s="37"/>
    </row>
    <row r="130" spans="1:25" x14ac:dyDescent="0.35">
      <c r="A130" t="s">
        <v>664</v>
      </c>
      <c r="B130" s="66" t="s">
        <v>819</v>
      </c>
      <c r="C130" s="67" t="s">
        <v>701</v>
      </c>
      <c r="D130" s="68" t="s">
        <v>154</v>
      </c>
      <c r="E130" s="59">
        <v>0</v>
      </c>
      <c r="F130" s="59">
        <v>0</v>
      </c>
      <c r="G130" s="34">
        <f>IFERROR((F130/E130),0)</f>
        <v>0</v>
      </c>
      <c r="H130" s="1">
        <v>3484</v>
      </c>
      <c r="I130" s="1">
        <v>45631</v>
      </c>
      <c r="J130" s="64">
        <f>IFERROR((I130/H130),0)</f>
        <v>13.097301951779563</v>
      </c>
      <c r="K130" s="90">
        <f>I130-F130</f>
        <v>45631</v>
      </c>
      <c r="L130" s="90">
        <f>(H130-E130)/1000</f>
        <v>3.484</v>
      </c>
      <c r="M130" s="55" t="s">
        <v>1061</v>
      </c>
      <c r="O130" s="19" t="e">
        <f>K130/F130</f>
        <v>#DIV/0!</v>
      </c>
      <c r="P130" s="19" t="e">
        <f>L130/(E130/1000)</f>
        <v>#DIV/0!</v>
      </c>
      <c r="R130" s="20" t="s">
        <v>1601</v>
      </c>
      <c r="T130">
        <v>0</v>
      </c>
      <c r="U130">
        <v>0</v>
      </c>
      <c r="V130" s="18">
        <f>IFERROR((U130/T130),0)</f>
        <v>0</v>
      </c>
      <c r="W130" s="4">
        <f>F130-U130</f>
        <v>0</v>
      </c>
      <c r="X130" s="19" t="e">
        <f>W130/F130</f>
        <v>#DIV/0!</v>
      </c>
      <c r="Y130" s="37"/>
    </row>
    <row r="131" spans="1:25" x14ac:dyDescent="0.35">
      <c r="A131" t="s">
        <v>1120</v>
      </c>
      <c r="B131" s="66" t="s">
        <v>1721</v>
      </c>
      <c r="C131" s="67" t="s">
        <v>1670</v>
      </c>
      <c r="D131" s="68" t="s">
        <v>1671</v>
      </c>
      <c r="E131" s="59">
        <v>0</v>
      </c>
      <c r="F131" s="59">
        <v>0</v>
      </c>
      <c r="G131" s="34">
        <f>IFERROR((F131/E131),0)</f>
        <v>0</v>
      </c>
      <c r="H131" s="1">
        <v>3736</v>
      </c>
      <c r="I131" s="1">
        <v>45573</v>
      </c>
      <c r="J131" s="64">
        <f>IFERROR((I131/H131),0)</f>
        <v>12.198340471092077</v>
      </c>
      <c r="K131" s="90">
        <f>I131-F131</f>
        <v>45573</v>
      </c>
      <c r="L131" s="90">
        <f>(H131-E131)/1000</f>
        <v>3.7360000000000002</v>
      </c>
      <c r="M131" s="55" t="s">
        <v>1061</v>
      </c>
      <c r="O131" s="19" t="e">
        <f>K131/F131</f>
        <v>#DIV/0!</v>
      </c>
      <c r="P131" s="19" t="e">
        <f>L131/(E131/1000)</f>
        <v>#DIV/0!</v>
      </c>
      <c r="R131" s="20" t="s">
        <v>1288</v>
      </c>
      <c r="T131">
        <v>20298</v>
      </c>
      <c r="U131">
        <v>240045</v>
      </c>
      <c r="V131" s="18">
        <f>IFERROR((U131/T131),0)</f>
        <v>11.826041974578777</v>
      </c>
      <c r="W131" s="4">
        <f>F131-U131</f>
        <v>-240045</v>
      </c>
      <c r="X131" s="19" t="e">
        <f>W131/F131</f>
        <v>#DIV/0!</v>
      </c>
      <c r="Y131" s="37" t="s">
        <v>1277</v>
      </c>
    </row>
    <row r="132" spans="1:25" x14ac:dyDescent="0.35">
      <c r="A132" t="s">
        <v>437</v>
      </c>
      <c r="B132" s="66" t="s">
        <v>1595</v>
      </c>
      <c r="C132" s="67" t="s">
        <v>1526</v>
      </c>
      <c r="D132" s="68" t="s">
        <v>1577</v>
      </c>
      <c r="E132" s="60">
        <v>1281</v>
      </c>
      <c r="F132" s="60">
        <v>13539.72</v>
      </c>
      <c r="G132" s="34">
        <f>IFERROR((F132/E132),0)</f>
        <v>10.569648711943794</v>
      </c>
      <c r="H132" s="1">
        <v>5316</v>
      </c>
      <c r="I132" s="1">
        <v>58640</v>
      </c>
      <c r="J132" s="64">
        <f>IFERROR((I132/H132),0)</f>
        <v>11.030850263355907</v>
      </c>
      <c r="K132" s="90">
        <f>I132-F132</f>
        <v>45100.28</v>
      </c>
      <c r="L132" s="90">
        <f>(H132-E132)/1000</f>
        <v>4.0350000000000001</v>
      </c>
      <c r="M132" s="55" t="s">
        <v>1061</v>
      </c>
      <c r="O132" s="19">
        <f>K132/F132</f>
        <v>3.3309610538474947</v>
      </c>
      <c r="P132" s="19">
        <f>L132/(E132/1000)</f>
        <v>3.1498829039812648</v>
      </c>
      <c r="R132" s="20" t="s">
        <v>1318</v>
      </c>
      <c r="W132" s="61"/>
      <c r="Y132" s="55"/>
    </row>
    <row r="133" spans="1:25" x14ac:dyDescent="0.35">
      <c r="A133" t="s">
        <v>407</v>
      </c>
      <c r="B133" s="66" t="s">
        <v>1721</v>
      </c>
      <c r="C133" s="67" t="s">
        <v>1672</v>
      </c>
      <c r="D133" s="68" t="s">
        <v>1673</v>
      </c>
      <c r="E133" s="59">
        <v>0</v>
      </c>
      <c r="F133" s="59">
        <v>0</v>
      </c>
      <c r="G133" s="34">
        <f>IFERROR((F133/E133),0)</f>
        <v>0</v>
      </c>
      <c r="H133" s="1">
        <v>3866</v>
      </c>
      <c r="I133" s="1">
        <v>42952</v>
      </c>
      <c r="J133" s="64">
        <f>IFERROR((I133/H133),0)</f>
        <v>11.110191412312467</v>
      </c>
      <c r="K133" s="90">
        <f>I133-F133</f>
        <v>42952</v>
      </c>
      <c r="L133" s="90">
        <f>(H133-E133)/1000</f>
        <v>3.8660000000000001</v>
      </c>
      <c r="M133" s="55" t="s">
        <v>1061</v>
      </c>
      <c r="O133" s="19" t="e">
        <f>K133/F133</f>
        <v>#DIV/0!</v>
      </c>
      <c r="P133" s="19" t="e">
        <f>L133/(E133/1000)</f>
        <v>#DIV/0!</v>
      </c>
      <c r="R133" s="20" t="s">
        <v>1305</v>
      </c>
      <c r="T133">
        <v>503</v>
      </c>
      <c r="U133">
        <v>5017</v>
      </c>
      <c r="V133" s="18">
        <f t="shared" ref="V133:V139" si="18">IFERROR((U133/T133),0)</f>
        <v>9.9741550695825048</v>
      </c>
      <c r="W133" s="4">
        <f t="shared" ref="W133:W139" si="19">F133-U133</f>
        <v>-5017</v>
      </c>
      <c r="X133" s="19" t="e">
        <f t="shared" ref="X133:X139" si="20">W133/F133</f>
        <v>#DIV/0!</v>
      </c>
      <c r="Y133" s="37"/>
    </row>
    <row r="134" spans="1:25" x14ac:dyDescent="0.35">
      <c r="A134" t="s">
        <v>1028</v>
      </c>
      <c r="B134" s="66" t="s">
        <v>1394</v>
      </c>
      <c r="C134" s="67" t="s">
        <v>1425</v>
      </c>
      <c r="D134" s="68" t="s">
        <v>1353</v>
      </c>
      <c r="E134" s="60">
        <v>953</v>
      </c>
      <c r="F134" s="60">
        <v>9597.6849999999995</v>
      </c>
      <c r="G134" s="34">
        <f>IFERROR((F134/E134),0)</f>
        <v>10.071023084994753</v>
      </c>
      <c r="H134" s="1">
        <v>6333</v>
      </c>
      <c r="I134" s="1">
        <v>51765</v>
      </c>
      <c r="J134" s="64">
        <f>IFERROR((I134/H134),0)</f>
        <v>8.1738512553292271</v>
      </c>
      <c r="K134" s="90">
        <f>I134-F134</f>
        <v>42167.315000000002</v>
      </c>
      <c r="L134" s="90">
        <f>(H134-E134)/1000</f>
        <v>5.38</v>
      </c>
      <c r="M134" s="55" t="s">
        <v>1061</v>
      </c>
      <c r="O134" s="19">
        <f>K134/F134</f>
        <v>4.3934881171865925</v>
      </c>
      <c r="P134" s="19">
        <f>L134/(E134/1000)</f>
        <v>5.6453305351521514</v>
      </c>
      <c r="R134" s="20" t="s">
        <v>1310</v>
      </c>
      <c r="T134">
        <v>489</v>
      </c>
      <c r="U134">
        <v>9604</v>
      </c>
      <c r="V134" s="18">
        <f t="shared" si="18"/>
        <v>19.640081799591002</v>
      </c>
      <c r="W134" s="4">
        <f t="shared" si="19"/>
        <v>-6.3150000000005093</v>
      </c>
      <c r="X134" s="19">
        <f t="shared" si="20"/>
        <v>-6.5797116700542992E-4</v>
      </c>
      <c r="Y134" s="37"/>
    </row>
    <row r="135" spans="1:25" x14ac:dyDescent="0.35">
      <c r="A135" t="s">
        <v>584</v>
      </c>
      <c r="B135" s="66" t="s">
        <v>837</v>
      </c>
      <c r="C135" s="67" t="s">
        <v>754</v>
      </c>
      <c r="D135" s="68" t="s">
        <v>355</v>
      </c>
      <c r="E135" s="60">
        <v>31218</v>
      </c>
      <c r="F135" s="60">
        <v>480530.1</v>
      </c>
      <c r="G135" s="34">
        <f>IFERROR((F135/E135),0)</f>
        <v>15.392725350759177</v>
      </c>
      <c r="H135" s="1">
        <v>37134</v>
      </c>
      <c r="I135" s="1">
        <v>522264</v>
      </c>
      <c r="J135" s="64">
        <f>IFERROR((I135/H135),0)</f>
        <v>14.064307642591695</v>
      </c>
      <c r="K135" s="90">
        <f>I135-F135</f>
        <v>41733.900000000023</v>
      </c>
      <c r="L135" s="90">
        <f>(H135-E135)/1000</f>
        <v>5.9160000000000004</v>
      </c>
      <c r="M135" s="55" t="s">
        <v>1061</v>
      </c>
      <c r="O135" s="19">
        <f>K135/F135</f>
        <v>8.6849710351131024E-2</v>
      </c>
      <c r="P135" s="19">
        <f>L135/(E135/1000)</f>
        <v>0.18950605419950031</v>
      </c>
      <c r="R135" s="20" t="s">
        <v>1601</v>
      </c>
      <c r="T135">
        <v>0</v>
      </c>
      <c r="U135">
        <v>0</v>
      </c>
      <c r="V135" s="18">
        <f t="shared" si="18"/>
        <v>0</v>
      </c>
      <c r="W135" s="4">
        <f t="shared" si="19"/>
        <v>480530.1</v>
      </c>
      <c r="X135" s="19">
        <f t="shared" si="20"/>
        <v>1</v>
      </c>
      <c r="Y135" s="37"/>
    </row>
    <row r="136" spans="1:25" x14ac:dyDescent="0.35">
      <c r="A136" t="s">
        <v>602</v>
      </c>
      <c r="B136" s="66" t="s">
        <v>1219</v>
      </c>
      <c r="C136" s="67" t="s">
        <v>1127</v>
      </c>
      <c r="D136" s="68" t="s">
        <v>1343</v>
      </c>
      <c r="E136" s="60">
        <v>6020</v>
      </c>
      <c r="F136" s="60">
        <v>73343.09</v>
      </c>
      <c r="G136" s="34">
        <f>IFERROR((F136/E136),0)</f>
        <v>12.183237541528239</v>
      </c>
      <c r="H136" s="1">
        <v>10454</v>
      </c>
      <c r="I136" s="1">
        <v>114508</v>
      </c>
      <c r="J136" s="64">
        <f>IFERROR((I136/H136),0)</f>
        <v>10.953510617945284</v>
      </c>
      <c r="K136" s="90">
        <f>I136-F136</f>
        <v>41164.910000000003</v>
      </c>
      <c r="L136" s="90">
        <f>(H136-E136)/1000</f>
        <v>4.4340000000000002</v>
      </c>
      <c r="M136" s="55" t="s">
        <v>1061</v>
      </c>
      <c r="O136" s="19">
        <f>K136/F136</f>
        <v>0.56126500806006407</v>
      </c>
      <c r="P136" s="19">
        <f>L136/(E136/1000)</f>
        <v>0.73654485049833895</v>
      </c>
      <c r="R136" s="20" t="s">
        <v>1281</v>
      </c>
      <c r="T136">
        <v>4445</v>
      </c>
      <c r="U136">
        <v>60667</v>
      </c>
      <c r="V136" s="18">
        <f t="shared" si="18"/>
        <v>13.648368953880764</v>
      </c>
      <c r="W136" s="4">
        <f t="shared" si="19"/>
        <v>12676.089999999997</v>
      </c>
      <c r="X136" s="19">
        <f t="shared" si="20"/>
        <v>0.17283277811174846</v>
      </c>
      <c r="Y136" s="37"/>
    </row>
    <row r="137" spans="1:25" x14ac:dyDescent="0.35">
      <c r="A137" t="s">
        <v>739</v>
      </c>
      <c r="B137" s="85" t="s">
        <v>1219</v>
      </c>
      <c r="C137" s="67" t="s">
        <v>1096</v>
      </c>
      <c r="D137" s="68" t="s">
        <v>1189</v>
      </c>
      <c r="E137" s="59">
        <v>0</v>
      </c>
      <c r="F137" s="59">
        <v>0</v>
      </c>
      <c r="G137" s="34">
        <f>IFERROR((F137/E137),0)</f>
        <v>0</v>
      </c>
      <c r="H137" s="1">
        <v>5284</v>
      </c>
      <c r="I137" s="1">
        <v>41087</v>
      </c>
      <c r="J137" s="64">
        <f>IFERROR((I137/H137),0)</f>
        <v>7.7757380772142319</v>
      </c>
      <c r="K137" s="90">
        <f>I137-F137</f>
        <v>41087</v>
      </c>
      <c r="L137" s="90">
        <f>(H137-E137)/1000</f>
        <v>5.2839999999999998</v>
      </c>
      <c r="M137" s="55" t="s">
        <v>1061</v>
      </c>
      <c r="O137" s="19" t="e">
        <f>K137/F137</f>
        <v>#DIV/0!</v>
      </c>
      <c r="P137" s="19" t="e">
        <f>L137/(E137/1000)</f>
        <v>#DIV/0!</v>
      </c>
      <c r="R137" s="20" t="s">
        <v>1299</v>
      </c>
      <c r="T137">
        <v>7087</v>
      </c>
      <c r="U137">
        <v>88981</v>
      </c>
      <c r="V137" s="18">
        <f t="shared" si="18"/>
        <v>12.555524199238041</v>
      </c>
      <c r="W137" s="4">
        <f t="shared" si="19"/>
        <v>-88981</v>
      </c>
      <c r="X137" s="19" t="e">
        <f t="shared" si="20"/>
        <v>#DIV/0!</v>
      </c>
      <c r="Y137" s="37" t="s">
        <v>1277</v>
      </c>
    </row>
    <row r="138" spans="1:25" x14ac:dyDescent="0.35">
      <c r="A138" t="s">
        <v>1141</v>
      </c>
      <c r="B138" s="66" t="s">
        <v>976</v>
      </c>
      <c r="C138" s="67" t="s">
        <v>885</v>
      </c>
      <c r="D138" s="68" t="s">
        <v>886</v>
      </c>
      <c r="E138" s="60">
        <v>0</v>
      </c>
      <c r="F138" s="60">
        <v>0</v>
      </c>
      <c r="G138" s="34">
        <f>IFERROR((F138/E138),0)</f>
        <v>0</v>
      </c>
      <c r="H138" s="1">
        <v>2968</v>
      </c>
      <c r="I138" s="1">
        <v>39153</v>
      </c>
      <c r="J138" s="64">
        <f>IFERROR((I138/H138),0)</f>
        <v>13.191711590296496</v>
      </c>
      <c r="K138" s="90">
        <f>I138-F138</f>
        <v>39153</v>
      </c>
      <c r="L138" s="90">
        <f>(H138-E138)/1000</f>
        <v>2.968</v>
      </c>
      <c r="M138" s="55" t="s">
        <v>1061</v>
      </c>
      <c r="O138" s="19" t="e">
        <f>K138/F138</f>
        <v>#DIV/0!</v>
      </c>
      <c r="P138" s="19" t="e">
        <f>L138/(E138/1000)</f>
        <v>#DIV/0!</v>
      </c>
      <c r="R138" s="20" t="s">
        <v>1305</v>
      </c>
      <c r="T138">
        <v>108</v>
      </c>
      <c r="U138">
        <v>5822</v>
      </c>
      <c r="V138" s="18">
        <f t="shared" si="18"/>
        <v>53.907407407407405</v>
      </c>
      <c r="W138" s="4">
        <f t="shared" si="19"/>
        <v>-5822</v>
      </c>
      <c r="X138" s="19" t="e">
        <f t="shared" si="20"/>
        <v>#DIV/0!</v>
      </c>
      <c r="Y138" s="37"/>
    </row>
    <row r="139" spans="1:25" x14ac:dyDescent="0.35">
      <c r="A139" t="s">
        <v>659</v>
      </c>
      <c r="B139" s="66" t="s">
        <v>1394</v>
      </c>
      <c r="C139" s="67" t="s">
        <v>1443</v>
      </c>
      <c r="D139" s="68" t="s">
        <v>1363</v>
      </c>
      <c r="E139" s="60">
        <v>2589</v>
      </c>
      <c r="F139" s="60">
        <v>31268</v>
      </c>
      <c r="G139" s="34">
        <f>IFERROR((F139/E139),0)</f>
        <v>12.07724990343762</v>
      </c>
      <c r="H139" s="1">
        <v>5962</v>
      </c>
      <c r="I139" s="1">
        <v>70416</v>
      </c>
      <c r="J139" s="64">
        <f>IFERROR((I139/H139),0)</f>
        <v>11.810801744381081</v>
      </c>
      <c r="K139" s="90">
        <f>I139-F139</f>
        <v>39148</v>
      </c>
      <c r="L139" s="90">
        <f>(H139-E139)/1000</f>
        <v>3.3730000000000002</v>
      </c>
      <c r="M139" s="55" t="s">
        <v>1061</v>
      </c>
      <c r="O139" s="19">
        <f>K139/F139</f>
        <v>1.2520148394524753</v>
      </c>
      <c r="P139" s="19">
        <f>L139/(E139/1000)</f>
        <v>1.3028196214754733</v>
      </c>
      <c r="R139" s="20" t="s">
        <v>1318</v>
      </c>
      <c r="T139">
        <v>315</v>
      </c>
      <c r="U139">
        <v>4515</v>
      </c>
      <c r="V139" s="18">
        <f t="shared" si="18"/>
        <v>14.333333333333334</v>
      </c>
      <c r="W139" s="4">
        <f t="shared" si="19"/>
        <v>26753</v>
      </c>
      <c r="X139" s="19">
        <f t="shared" si="20"/>
        <v>0.85560317257259821</v>
      </c>
      <c r="Y139" s="37"/>
    </row>
    <row r="140" spans="1:25" x14ac:dyDescent="0.35">
      <c r="A140" t="s">
        <v>649</v>
      </c>
      <c r="B140" s="66" t="s">
        <v>976</v>
      </c>
      <c r="C140" s="67" t="s">
        <v>964</v>
      </c>
      <c r="D140" s="68" t="s">
        <v>965</v>
      </c>
      <c r="E140" s="60">
        <v>17279</v>
      </c>
      <c r="F140" s="60">
        <v>355465</v>
      </c>
      <c r="G140" s="34">
        <f>IFERROR((F140/E140),0)</f>
        <v>20.572081717691997</v>
      </c>
      <c r="H140" s="1">
        <v>24048</v>
      </c>
      <c r="I140" s="1">
        <v>394099</v>
      </c>
      <c r="J140" s="64">
        <f>IFERROR((I140/H140),0)</f>
        <v>16.388015635395874</v>
      </c>
      <c r="K140" s="90">
        <f>I140-F140</f>
        <v>38634</v>
      </c>
      <c r="L140" s="90">
        <f>(H140-E140)/1000</f>
        <v>6.7690000000000001</v>
      </c>
      <c r="M140" s="55" t="s">
        <v>1061</v>
      </c>
      <c r="O140" s="19">
        <f>K140/F140</f>
        <v>0.10868580591619428</v>
      </c>
      <c r="P140" s="19">
        <f>L140/(E140/1000)</f>
        <v>0.391747207593032</v>
      </c>
      <c r="R140" s="20" t="s">
        <v>1299</v>
      </c>
      <c r="W140" s="61"/>
      <c r="Y140" s="55"/>
    </row>
    <row r="141" spans="1:25" x14ac:dyDescent="0.35">
      <c r="A141" t="s">
        <v>1427</v>
      </c>
      <c r="B141" s="66" t="s">
        <v>1595</v>
      </c>
      <c r="C141" s="67" t="s">
        <v>1531</v>
      </c>
      <c r="D141" s="68" t="s">
        <v>1582</v>
      </c>
      <c r="E141" s="60">
        <v>2367</v>
      </c>
      <c r="F141" s="60">
        <v>23123.3</v>
      </c>
      <c r="G141" s="34">
        <f>IFERROR((F141/E141),0)</f>
        <v>9.7690325306294881</v>
      </c>
      <c r="H141" s="1">
        <v>6138</v>
      </c>
      <c r="I141" s="1">
        <v>61078</v>
      </c>
      <c r="J141" s="64">
        <f>IFERROR((I141/H141),0)</f>
        <v>9.9507983056370151</v>
      </c>
      <c r="K141" s="90">
        <f>I141-F141</f>
        <v>37954.699999999997</v>
      </c>
      <c r="L141" s="90">
        <f>(H141-E141)/1000</f>
        <v>3.7709999999999999</v>
      </c>
      <c r="M141" s="55" t="s">
        <v>1061</v>
      </c>
      <c r="O141" s="19">
        <f>K141/F141</f>
        <v>1.6414049897722209</v>
      </c>
      <c r="P141" s="19">
        <f>L141/(E141/1000)</f>
        <v>1.5931558935361216</v>
      </c>
      <c r="R141" s="20" t="s">
        <v>1305</v>
      </c>
      <c r="W141" s="61"/>
      <c r="Y141" s="55"/>
    </row>
    <row r="142" spans="1:25" x14ac:dyDescent="0.35">
      <c r="A142" t="s">
        <v>1112</v>
      </c>
      <c r="B142" s="85" t="s">
        <v>822</v>
      </c>
      <c r="C142" s="67" t="s">
        <v>1735</v>
      </c>
      <c r="D142" s="68" t="s">
        <v>1736</v>
      </c>
      <c r="E142" s="59">
        <v>0</v>
      </c>
      <c r="F142" s="59">
        <v>0</v>
      </c>
      <c r="G142" s="34">
        <f>IFERROR((F142/E142),0)</f>
        <v>0</v>
      </c>
      <c r="H142" s="1">
        <v>2125</v>
      </c>
      <c r="I142" s="1">
        <v>32773</v>
      </c>
      <c r="J142" s="64">
        <f>IFERROR((I142/H142),0)</f>
        <v>15.422588235294118</v>
      </c>
      <c r="K142" s="90">
        <f>I142-F142</f>
        <v>32773</v>
      </c>
      <c r="L142" s="90">
        <f>(H142-E142)/1000</f>
        <v>2.125</v>
      </c>
      <c r="M142" s="55" t="s">
        <v>1061</v>
      </c>
      <c r="O142" s="19" t="e">
        <f>K142/F142</f>
        <v>#DIV/0!</v>
      </c>
      <c r="P142" s="19" t="e">
        <f>L142/(E142/1000)</f>
        <v>#DIV/0!</v>
      </c>
      <c r="R142" s="20" t="s">
        <v>1287</v>
      </c>
      <c r="W142" s="61"/>
      <c r="Y142" s="55"/>
    </row>
    <row r="143" spans="1:25" x14ac:dyDescent="0.35">
      <c r="A143" t="s">
        <v>1090</v>
      </c>
      <c r="B143" s="66" t="s">
        <v>976</v>
      </c>
      <c r="C143" s="67" t="s">
        <v>593</v>
      </c>
      <c r="D143" s="68" t="s">
        <v>298</v>
      </c>
      <c r="E143" s="59">
        <v>4495</v>
      </c>
      <c r="F143" s="59">
        <v>92941.48</v>
      </c>
      <c r="G143" s="34">
        <f>IFERROR((F143/E143),0)</f>
        <v>20.676636262513902</v>
      </c>
      <c r="H143" s="1">
        <v>11183</v>
      </c>
      <c r="I143" s="1">
        <v>125205</v>
      </c>
      <c r="J143" s="64">
        <f>IFERROR((I143/H143),0)</f>
        <v>11.19601180363051</v>
      </c>
      <c r="K143" s="90">
        <f>I143-F143</f>
        <v>32263.520000000004</v>
      </c>
      <c r="L143" s="90">
        <f>(H143-E143)/1000</f>
        <v>6.6879999999999997</v>
      </c>
      <c r="M143" s="55" t="s">
        <v>1061</v>
      </c>
      <c r="O143" s="19">
        <f>K143/F143</f>
        <v>0.34713800554929841</v>
      </c>
      <c r="P143" s="19">
        <f>L143/(E143/1000)</f>
        <v>1.4878754171301445</v>
      </c>
      <c r="R143" s="20" t="s">
        <v>1601</v>
      </c>
      <c r="W143" s="61"/>
      <c r="Y143" s="55"/>
    </row>
    <row r="144" spans="1:25" x14ac:dyDescent="0.35">
      <c r="A144" t="s">
        <v>640</v>
      </c>
      <c r="B144" s="66" t="s">
        <v>837</v>
      </c>
      <c r="C144" s="67" t="s">
        <v>755</v>
      </c>
      <c r="D144" s="68" t="s">
        <v>356</v>
      </c>
      <c r="E144" s="60">
        <v>12742</v>
      </c>
      <c r="F144" s="60">
        <v>98239.46</v>
      </c>
      <c r="G144" s="34">
        <f>IFERROR((F144/E144),0)</f>
        <v>7.7098932663632089</v>
      </c>
      <c r="H144" s="1">
        <v>17250</v>
      </c>
      <c r="I144" s="1">
        <v>130429</v>
      </c>
      <c r="J144" s="64">
        <f>IFERROR((I144/H144),0)</f>
        <v>7.5611014492753625</v>
      </c>
      <c r="K144" s="90">
        <f>I144-F144</f>
        <v>32189.539999999994</v>
      </c>
      <c r="L144" s="90">
        <f>(H144-E144)/1000</f>
        <v>4.508</v>
      </c>
      <c r="M144" s="55" t="s">
        <v>1061</v>
      </c>
      <c r="O144" s="19">
        <f>K144/F144</f>
        <v>0.32766405678532834</v>
      </c>
      <c r="P144" s="19">
        <f>L144/(E144/1000)</f>
        <v>0.35379061371841153</v>
      </c>
      <c r="R144" s="20" t="s">
        <v>1062</v>
      </c>
      <c r="W144" s="61"/>
      <c r="Y144" s="55"/>
    </row>
    <row r="145" spans="1:25" x14ac:dyDescent="0.35">
      <c r="A145" t="s">
        <v>910</v>
      </c>
      <c r="B145" s="66" t="s">
        <v>1721</v>
      </c>
      <c r="C145" s="67" t="s">
        <v>1674</v>
      </c>
      <c r="D145" s="68" t="s">
        <v>1675</v>
      </c>
      <c r="E145" s="59">
        <v>0</v>
      </c>
      <c r="F145" s="59">
        <v>0</v>
      </c>
      <c r="G145" s="34">
        <f>IFERROR((F145/E145),0)</f>
        <v>0</v>
      </c>
      <c r="H145" s="1">
        <v>1797</v>
      </c>
      <c r="I145" s="1">
        <v>31342</v>
      </c>
      <c r="J145" s="64">
        <f>IFERROR((I145/H145),0)</f>
        <v>17.441291040623263</v>
      </c>
      <c r="K145" s="90">
        <f>I145-F145</f>
        <v>31342</v>
      </c>
      <c r="L145" s="90">
        <f>(H145-E145)/1000</f>
        <v>1.7969999999999999</v>
      </c>
      <c r="M145" s="55" t="s">
        <v>1061</v>
      </c>
      <c r="O145" s="19" t="e">
        <f>K145/F145</f>
        <v>#DIV/0!</v>
      </c>
      <c r="P145" s="19" t="e">
        <f>L145/(E145/1000)</f>
        <v>#DIV/0!</v>
      </c>
      <c r="R145" s="20" t="s">
        <v>1288</v>
      </c>
      <c r="T145">
        <v>5462</v>
      </c>
      <c r="U145">
        <v>72729</v>
      </c>
      <c r="V145" s="18">
        <f t="shared" ref="V145:V151" si="21">IFERROR((U145/T145),0)</f>
        <v>13.315452215305749</v>
      </c>
      <c r="W145" s="4">
        <f t="shared" ref="W145:W151" si="22">F145-U145</f>
        <v>-72729</v>
      </c>
      <c r="X145" s="19" t="e">
        <f t="shared" ref="X145:X151" si="23">W145/F145</f>
        <v>#DIV/0!</v>
      </c>
      <c r="Y145" s="37" t="s">
        <v>1277</v>
      </c>
    </row>
    <row r="146" spans="1:25" x14ac:dyDescent="0.35">
      <c r="A146" t="s">
        <v>1087</v>
      </c>
      <c r="B146" s="66" t="s">
        <v>1722</v>
      </c>
      <c r="C146" s="67" t="s">
        <v>1676</v>
      </c>
      <c r="D146" s="68" t="s">
        <v>1677</v>
      </c>
      <c r="E146" s="59">
        <v>0</v>
      </c>
      <c r="F146" s="59">
        <v>0</v>
      </c>
      <c r="G146" s="34">
        <f>IFERROR((F146/E146),0)</f>
        <v>0</v>
      </c>
      <c r="H146" s="1">
        <v>1040</v>
      </c>
      <c r="I146" s="1">
        <v>31235</v>
      </c>
      <c r="J146" s="64">
        <f>IFERROR((I146/H146),0)</f>
        <v>30.033653846153847</v>
      </c>
      <c r="K146" s="90">
        <f>I146-F146</f>
        <v>31235</v>
      </c>
      <c r="L146" s="90">
        <f>(H146-E146)/1000</f>
        <v>1.04</v>
      </c>
      <c r="M146" s="55" t="s">
        <v>1061</v>
      </c>
      <c r="O146" s="19" t="e">
        <f>K146/F146</f>
        <v>#DIV/0!</v>
      </c>
      <c r="P146" s="19" t="e">
        <f>L146/(E146/1000)</f>
        <v>#DIV/0!</v>
      </c>
      <c r="R146" s="20" t="s">
        <v>1318</v>
      </c>
      <c r="T146">
        <v>20</v>
      </c>
      <c r="U146">
        <v>455</v>
      </c>
      <c r="V146" s="18">
        <f t="shared" si="21"/>
        <v>22.75</v>
      </c>
      <c r="W146" s="4">
        <f t="shared" si="22"/>
        <v>-455</v>
      </c>
      <c r="X146" s="19" t="e">
        <f t="shared" si="23"/>
        <v>#DIV/0!</v>
      </c>
      <c r="Y146" s="37"/>
    </row>
    <row r="147" spans="1:25" x14ac:dyDescent="0.35">
      <c r="A147" t="s">
        <v>1130</v>
      </c>
      <c r="B147" s="66" t="s">
        <v>815</v>
      </c>
      <c r="C147" s="67" t="s">
        <v>716</v>
      </c>
      <c r="D147" s="68" t="s">
        <v>201</v>
      </c>
      <c r="E147" s="60">
        <v>13260</v>
      </c>
      <c r="F147" s="60">
        <v>191582.5</v>
      </c>
      <c r="G147" s="34">
        <f>IFERROR((F147/E147),0)</f>
        <v>14.44815233785822</v>
      </c>
      <c r="H147" s="1">
        <v>15655</v>
      </c>
      <c r="I147" s="1">
        <v>222355</v>
      </c>
      <c r="J147" s="64">
        <f>IFERROR((I147/H147),0)</f>
        <v>14.203449377195785</v>
      </c>
      <c r="K147" s="90">
        <f>I147-F147</f>
        <v>30772.5</v>
      </c>
      <c r="L147" s="90">
        <f>(H147-E147)/1000</f>
        <v>2.395</v>
      </c>
      <c r="M147" s="55" t="s">
        <v>1061</v>
      </c>
      <c r="O147" s="19">
        <f>K147/F147</f>
        <v>0.16062270823274569</v>
      </c>
      <c r="P147" s="19">
        <f>L147/(E147/1000)</f>
        <v>0.1806184012066365</v>
      </c>
      <c r="R147" s="20" t="s">
        <v>1293</v>
      </c>
      <c r="T147">
        <v>0</v>
      </c>
      <c r="U147">
        <v>0</v>
      </c>
      <c r="V147" s="18">
        <f t="shared" si="21"/>
        <v>0</v>
      </c>
      <c r="W147" s="4">
        <f t="shared" si="22"/>
        <v>191582.5</v>
      </c>
      <c r="X147" s="19">
        <f t="shared" si="23"/>
        <v>1</v>
      </c>
      <c r="Y147" s="37"/>
    </row>
    <row r="148" spans="1:25" x14ac:dyDescent="0.35">
      <c r="A148" t="s">
        <v>1428</v>
      </c>
      <c r="B148" s="66" t="s">
        <v>1235</v>
      </c>
      <c r="C148" s="67" t="s">
        <v>1121</v>
      </c>
      <c r="D148" s="68" t="s">
        <v>1166</v>
      </c>
      <c r="E148" s="60">
        <v>10435</v>
      </c>
      <c r="F148" s="60">
        <v>87205.49</v>
      </c>
      <c r="G148" s="34">
        <f>IFERROR((F148/E148),0)</f>
        <v>8.3570186871106849</v>
      </c>
      <c r="H148" s="1">
        <v>13636</v>
      </c>
      <c r="I148" s="1">
        <v>117691</v>
      </c>
      <c r="J148" s="64">
        <f>IFERROR((I148/H148),0)</f>
        <v>8.6309034907597528</v>
      </c>
      <c r="K148" s="90">
        <f>I148-F148</f>
        <v>30485.509999999995</v>
      </c>
      <c r="L148" s="90">
        <f>(H148-E148)/1000</f>
        <v>3.2010000000000001</v>
      </c>
      <c r="M148" s="55" t="s">
        <v>1061</v>
      </c>
      <c r="O148" s="19">
        <f>K148/F148</f>
        <v>0.34958246321418518</v>
      </c>
      <c r="P148" s="19">
        <f>L148/(E148/1000)</f>
        <v>0.30675610924772401</v>
      </c>
      <c r="R148" s="20" t="s">
        <v>1601</v>
      </c>
      <c r="T148">
        <v>312</v>
      </c>
      <c r="U148">
        <v>4246</v>
      </c>
      <c r="V148" s="18">
        <f t="shared" si="21"/>
        <v>13.608974358974359</v>
      </c>
      <c r="W148" s="4">
        <f t="shared" si="22"/>
        <v>82959.490000000005</v>
      </c>
      <c r="X148" s="19">
        <f t="shared" si="23"/>
        <v>0.95131040488391272</v>
      </c>
      <c r="Y148" s="37"/>
    </row>
    <row r="149" spans="1:25" x14ac:dyDescent="0.35">
      <c r="A149" t="s">
        <v>473</v>
      </c>
      <c r="B149" s="66" t="s">
        <v>815</v>
      </c>
      <c r="C149" s="67" t="s">
        <v>677</v>
      </c>
      <c r="D149" s="68" t="s">
        <v>109</v>
      </c>
      <c r="E149" s="60">
        <v>1325</v>
      </c>
      <c r="F149" s="60">
        <v>15456.74</v>
      </c>
      <c r="G149" s="34">
        <f>IFERROR((F149/E149),0)</f>
        <v>11.665464150943397</v>
      </c>
      <c r="H149" s="1">
        <v>3467</v>
      </c>
      <c r="I149" s="1">
        <v>45455</v>
      </c>
      <c r="J149" s="64">
        <f>IFERROR((I149/H149),0)</f>
        <v>13.110758580905681</v>
      </c>
      <c r="K149" s="90">
        <f>I149-F149</f>
        <v>29998.260000000002</v>
      </c>
      <c r="L149" s="90">
        <f>(H149-E149)/1000</f>
        <v>2.1419999999999999</v>
      </c>
      <c r="M149" s="55" t="s">
        <v>1061</v>
      </c>
      <c r="O149" s="19">
        <f>K149/F149</f>
        <v>1.9407882904157023</v>
      </c>
      <c r="P149" s="19">
        <f>L149/(E149/1000)</f>
        <v>1.6166037735849057</v>
      </c>
      <c r="R149" s="20" t="s">
        <v>1601</v>
      </c>
      <c r="T149">
        <v>0</v>
      </c>
      <c r="U149">
        <v>0</v>
      </c>
      <c r="V149" s="18">
        <f t="shared" si="21"/>
        <v>0</v>
      </c>
      <c r="W149" s="4">
        <f t="shared" si="22"/>
        <v>15456.74</v>
      </c>
      <c r="X149" s="19">
        <f t="shared" si="23"/>
        <v>1</v>
      </c>
      <c r="Y149" s="37"/>
    </row>
    <row r="150" spans="1:25" x14ac:dyDescent="0.35">
      <c r="A150" t="s">
        <v>740</v>
      </c>
      <c r="B150" s="66" t="s">
        <v>1219</v>
      </c>
      <c r="C150" s="67" t="s">
        <v>1092</v>
      </c>
      <c r="D150" s="68" t="s">
        <v>1176</v>
      </c>
      <c r="E150" s="59">
        <v>9747</v>
      </c>
      <c r="F150" s="59">
        <v>121083.7</v>
      </c>
      <c r="G150" s="34">
        <f>IFERROR((F150/E150),0)</f>
        <v>12.422663383605212</v>
      </c>
      <c r="H150" s="1">
        <v>12911</v>
      </c>
      <c r="I150" s="1">
        <v>150028</v>
      </c>
      <c r="J150" s="64">
        <f>IFERROR((I150/H150),0)</f>
        <v>11.620168848268918</v>
      </c>
      <c r="K150" s="90">
        <f>I150-F150</f>
        <v>28944.300000000003</v>
      </c>
      <c r="L150" s="90">
        <f>(H150-E150)/1000</f>
        <v>3.1640000000000001</v>
      </c>
      <c r="M150" s="55" t="s">
        <v>1061</v>
      </c>
      <c r="O150" s="19">
        <f>K150/F150</f>
        <v>0.23904373586205246</v>
      </c>
      <c r="P150" s="19">
        <f>L150/(E150/1000)</f>
        <v>0.32461270134400333</v>
      </c>
      <c r="R150" s="20" t="s">
        <v>1303</v>
      </c>
      <c r="T150">
        <v>0</v>
      </c>
      <c r="U150">
        <v>0</v>
      </c>
      <c r="V150" s="18">
        <f t="shared" si="21"/>
        <v>0</v>
      </c>
      <c r="W150" s="4">
        <f t="shared" si="22"/>
        <v>121083.7</v>
      </c>
      <c r="X150" s="19">
        <f t="shared" si="23"/>
        <v>1</v>
      </c>
      <c r="Y150" s="37"/>
    </row>
    <row r="151" spans="1:25" x14ac:dyDescent="0.35">
      <c r="A151" t="s">
        <v>707</v>
      </c>
      <c r="B151" s="66" t="s">
        <v>976</v>
      </c>
      <c r="C151" s="67" t="s">
        <v>1080</v>
      </c>
      <c r="D151" s="68" t="s">
        <v>1552</v>
      </c>
      <c r="E151" s="60">
        <v>4545</v>
      </c>
      <c r="F151" s="60">
        <v>69724.259999999995</v>
      </c>
      <c r="G151" s="34">
        <f>IFERROR((F151/E151),0)</f>
        <v>15.340871287128712</v>
      </c>
      <c r="H151" s="1">
        <v>6145</v>
      </c>
      <c r="I151" s="1">
        <v>96650</v>
      </c>
      <c r="J151" s="64">
        <f>IFERROR((I151/H151),0)</f>
        <v>15.728234336859234</v>
      </c>
      <c r="K151" s="90">
        <f>I151-F151</f>
        <v>26925.740000000005</v>
      </c>
      <c r="L151" s="90">
        <f>(H151-E151)/1000</f>
        <v>1.6</v>
      </c>
      <c r="M151" s="55" t="s">
        <v>1061</v>
      </c>
      <c r="O151" s="19">
        <f>K151/F151</f>
        <v>0.38617462558942911</v>
      </c>
      <c r="P151" s="19">
        <f>L151/(E151/1000)</f>
        <v>0.35203520352035206</v>
      </c>
      <c r="R151" s="20" t="s">
        <v>1287</v>
      </c>
      <c r="T151">
        <v>0</v>
      </c>
      <c r="U151">
        <v>0</v>
      </c>
      <c r="V151" s="18">
        <f t="shared" si="21"/>
        <v>0</v>
      </c>
      <c r="W151" s="4">
        <f t="shared" si="22"/>
        <v>69724.259999999995</v>
      </c>
      <c r="X151" s="19">
        <f t="shared" si="23"/>
        <v>1</v>
      </c>
      <c r="Y151" s="37"/>
    </row>
    <row r="152" spans="1:25" x14ac:dyDescent="0.35">
      <c r="A152" t="s">
        <v>1145</v>
      </c>
      <c r="B152" s="66" t="s">
        <v>1721</v>
      </c>
      <c r="C152" s="67" t="s">
        <v>1678</v>
      </c>
      <c r="D152" s="68" t="s">
        <v>1679</v>
      </c>
      <c r="E152" s="59">
        <v>0</v>
      </c>
      <c r="F152" s="59">
        <v>0</v>
      </c>
      <c r="G152" s="34">
        <f>IFERROR((F152/E152),0)</f>
        <v>0</v>
      </c>
      <c r="H152" s="1">
        <v>2328</v>
      </c>
      <c r="I152" s="1">
        <v>24824</v>
      </c>
      <c r="J152" s="64">
        <f>IFERROR((I152/H152),0)</f>
        <v>10.663230240549828</v>
      </c>
      <c r="K152" s="90">
        <f>I152-F152</f>
        <v>24824</v>
      </c>
      <c r="L152" s="90">
        <f>(H152-E152)/1000</f>
        <v>2.3279999999999998</v>
      </c>
      <c r="M152" s="55" t="s">
        <v>1061</v>
      </c>
      <c r="O152" s="19" t="e">
        <f>K152/F152</f>
        <v>#DIV/0!</v>
      </c>
      <c r="P152" s="19" t="e">
        <f>L152/(E152/1000)</f>
        <v>#DIV/0!</v>
      </c>
      <c r="R152" s="20" t="s">
        <v>1294</v>
      </c>
      <c r="W152" s="61"/>
      <c r="Y152" s="55"/>
    </row>
    <row r="153" spans="1:25" x14ac:dyDescent="0.35">
      <c r="A153" t="s">
        <v>665</v>
      </c>
      <c r="B153" s="66" t="s">
        <v>833</v>
      </c>
      <c r="C153" s="67" t="s">
        <v>563</v>
      </c>
      <c r="D153" s="68" t="s">
        <v>165</v>
      </c>
      <c r="E153" s="60">
        <v>944</v>
      </c>
      <c r="F153" s="60">
        <v>93376.61</v>
      </c>
      <c r="G153" s="34">
        <f>IFERROR((F153/E153),0)</f>
        <v>98.915900423728814</v>
      </c>
      <c r="H153" s="1">
        <v>1612</v>
      </c>
      <c r="I153" s="1">
        <v>117324</v>
      </c>
      <c r="J153" s="64">
        <f>IFERROR((I153/H153),0)</f>
        <v>72.781637717121583</v>
      </c>
      <c r="K153" s="90">
        <f>I153-F153</f>
        <v>23947.39</v>
      </c>
      <c r="L153" s="90">
        <f>(H153-E153)/1000</f>
        <v>0.66800000000000004</v>
      </c>
      <c r="M153" s="55" t="s">
        <v>1061</v>
      </c>
      <c r="O153" s="19">
        <f>K153/F153</f>
        <v>0.25646026344284717</v>
      </c>
      <c r="P153" s="19">
        <f>L153/(E153/1000)</f>
        <v>0.70762711864406791</v>
      </c>
      <c r="R153" s="20" t="s">
        <v>1601</v>
      </c>
      <c r="W153" s="61"/>
      <c r="Y153" s="55"/>
    </row>
    <row r="154" spans="1:25" x14ac:dyDescent="0.35">
      <c r="A154" t="s">
        <v>553</v>
      </c>
      <c r="B154" s="66" t="s">
        <v>837</v>
      </c>
      <c r="C154" s="67" t="s">
        <v>761</v>
      </c>
      <c r="D154" s="68" t="s">
        <v>362</v>
      </c>
      <c r="E154" s="59">
        <v>625</v>
      </c>
      <c r="F154" s="59">
        <v>12104.14</v>
      </c>
      <c r="G154" s="34">
        <f>IFERROR((F154/E154),0)</f>
        <v>19.366623999999998</v>
      </c>
      <c r="H154" s="1">
        <v>2362</v>
      </c>
      <c r="I154" s="1">
        <v>35032</v>
      </c>
      <c r="J154" s="64">
        <f>IFERROR((I154/H154),0)</f>
        <v>14.831498729889924</v>
      </c>
      <c r="K154" s="90">
        <f>I154-F154</f>
        <v>22927.86</v>
      </c>
      <c r="L154" s="90">
        <f>(H154-E154)/1000</f>
        <v>1.7370000000000001</v>
      </c>
      <c r="M154" s="55" t="s">
        <v>1061</v>
      </c>
      <c r="O154" s="19">
        <f>K154/F154</f>
        <v>1.8942163590308772</v>
      </c>
      <c r="P154" s="19">
        <f>L154/(E154/1000)</f>
        <v>2.7792000000000003</v>
      </c>
      <c r="R154" s="20" t="s">
        <v>1312</v>
      </c>
      <c r="T154">
        <v>105487</v>
      </c>
      <c r="U154">
        <v>1092547</v>
      </c>
      <c r="V154" s="18">
        <f>IFERROR((U154/T154),0)</f>
        <v>10.357171973797719</v>
      </c>
      <c r="W154" s="4">
        <f>F154-U154</f>
        <v>-1080442.8600000001</v>
      </c>
      <c r="X154" s="19">
        <f>W154/F154</f>
        <v>-89.262257376401806</v>
      </c>
      <c r="Y154" s="37"/>
    </row>
    <row r="155" spans="1:25" x14ac:dyDescent="0.35">
      <c r="A155" t="s">
        <v>697</v>
      </c>
      <c r="B155" s="66" t="s">
        <v>1394</v>
      </c>
      <c r="C155" s="67" t="s">
        <v>1465</v>
      </c>
      <c r="D155" s="68" t="s">
        <v>1466</v>
      </c>
      <c r="E155" s="60">
        <v>181</v>
      </c>
      <c r="F155" s="60">
        <v>2287.625</v>
      </c>
      <c r="G155" s="34">
        <f>IFERROR((F155/E155),0)</f>
        <v>12.638812154696133</v>
      </c>
      <c r="H155" s="1">
        <v>1661</v>
      </c>
      <c r="I155" s="1">
        <v>24010</v>
      </c>
      <c r="J155" s="64">
        <f>IFERROR((I155/H155),0)</f>
        <v>14.455147501505117</v>
      </c>
      <c r="K155" s="90">
        <f>I155-F155</f>
        <v>21722.375</v>
      </c>
      <c r="L155" s="90">
        <f>(H155-E155)/1000</f>
        <v>1.48</v>
      </c>
      <c r="M155" s="55" t="s">
        <v>1061</v>
      </c>
      <c r="O155" s="19">
        <f>K155/F155</f>
        <v>9.4956013332604776</v>
      </c>
      <c r="P155" s="19">
        <f>L155/(E155/1000)</f>
        <v>8.1767955801104968</v>
      </c>
      <c r="R155" s="20" t="s">
        <v>1310</v>
      </c>
      <c r="W155" s="61"/>
      <c r="Y155" s="55"/>
    </row>
    <row r="156" spans="1:25" x14ac:dyDescent="0.35">
      <c r="A156" t="s">
        <v>1429</v>
      </c>
      <c r="B156" s="66" t="s">
        <v>1721</v>
      </c>
      <c r="C156" s="67" t="s">
        <v>1680</v>
      </c>
      <c r="D156" s="68" t="s">
        <v>1681</v>
      </c>
      <c r="E156" s="59">
        <v>0</v>
      </c>
      <c r="F156" s="59">
        <v>0</v>
      </c>
      <c r="G156" s="34">
        <f>IFERROR((F156/E156),0)</f>
        <v>0</v>
      </c>
      <c r="H156" s="1">
        <v>2701</v>
      </c>
      <c r="I156" s="1">
        <v>21517</v>
      </c>
      <c r="J156" s="64">
        <f>IFERROR((I156/H156),0)</f>
        <v>7.9663087745279526</v>
      </c>
      <c r="K156" s="90">
        <f>I156-F156</f>
        <v>21517</v>
      </c>
      <c r="L156" s="90">
        <f>(H156-E156)/1000</f>
        <v>2.7010000000000001</v>
      </c>
      <c r="M156" s="55" t="s">
        <v>1061</v>
      </c>
      <c r="O156" s="19" t="e">
        <f>K156/F156</f>
        <v>#DIV/0!</v>
      </c>
      <c r="P156" s="19" t="e">
        <f>L156/(E156/1000)</f>
        <v>#DIV/0!</v>
      </c>
      <c r="R156" s="20" t="s">
        <v>1316</v>
      </c>
      <c r="T156">
        <v>0</v>
      </c>
      <c r="U156">
        <v>0</v>
      </c>
      <c r="V156" s="18">
        <f>IFERROR((U156/T156),0)</f>
        <v>0</v>
      </c>
      <c r="W156" s="4">
        <f>F156-U156</f>
        <v>0</v>
      </c>
      <c r="X156" s="19" t="e">
        <f>W156/F156</f>
        <v>#DIV/0!</v>
      </c>
      <c r="Y156" s="37"/>
    </row>
    <row r="157" spans="1:25" x14ac:dyDescent="0.35">
      <c r="A157" t="s">
        <v>1081</v>
      </c>
      <c r="B157" s="66" t="s">
        <v>817</v>
      </c>
      <c r="C157" s="67" t="s">
        <v>1011</v>
      </c>
      <c r="D157" s="68" t="s">
        <v>96</v>
      </c>
      <c r="E157" s="60">
        <v>7268</v>
      </c>
      <c r="F157" s="60">
        <v>146047.5</v>
      </c>
      <c r="G157" s="34">
        <f>IFERROR((F157/E157),0)</f>
        <v>20.094592735277931</v>
      </c>
      <c r="H157" s="1">
        <v>7659</v>
      </c>
      <c r="I157" s="1">
        <v>167230</v>
      </c>
      <c r="J157" s="64">
        <f>IFERROR((I157/H157),0)</f>
        <v>21.834443138790967</v>
      </c>
      <c r="K157" s="90">
        <f>I157-F157</f>
        <v>21182.5</v>
      </c>
      <c r="L157" s="90">
        <f>(H157-E157)/1000</f>
        <v>0.39100000000000001</v>
      </c>
      <c r="M157" s="55" t="s">
        <v>1061</v>
      </c>
      <c r="O157" s="19">
        <f>K157/F157</f>
        <v>0.14503842927814581</v>
      </c>
      <c r="P157" s="19">
        <f>L157/(E157/1000)</f>
        <v>5.3797468354430382E-2</v>
      </c>
      <c r="R157" s="20" t="s">
        <v>1305</v>
      </c>
      <c r="T157">
        <v>27070</v>
      </c>
      <c r="U157">
        <v>267236</v>
      </c>
      <c r="V157" s="18">
        <f>IFERROR((U157/T157),0)</f>
        <v>9.8720354636128551</v>
      </c>
      <c r="W157" s="4">
        <f>F157-U157</f>
        <v>-121188.5</v>
      </c>
      <c r="X157" s="19">
        <f>W157/F157</f>
        <v>-0.82978825382153065</v>
      </c>
      <c r="Y157" s="37"/>
    </row>
    <row r="158" spans="1:25" x14ac:dyDescent="0.35">
      <c r="A158" t="s">
        <v>914</v>
      </c>
      <c r="B158" s="85" t="s">
        <v>837</v>
      </c>
      <c r="C158" s="67" t="s">
        <v>779</v>
      </c>
      <c r="D158" s="68" t="s">
        <v>382</v>
      </c>
      <c r="E158" s="59">
        <v>0</v>
      </c>
      <c r="F158" s="59">
        <v>0</v>
      </c>
      <c r="G158" s="34">
        <f>IFERROR((F158/E158),0)</f>
        <v>0</v>
      </c>
      <c r="H158" s="1">
        <v>1098</v>
      </c>
      <c r="I158" s="1">
        <v>20368</v>
      </c>
      <c r="J158" s="64">
        <f>IFERROR((I158/H158),0)</f>
        <v>18.550091074681237</v>
      </c>
      <c r="K158" s="90">
        <f>I158-F158</f>
        <v>20368</v>
      </c>
      <c r="L158" s="90">
        <f>(H158-E158)/1000</f>
        <v>1.0980000000000001</v>
      </c>
      <c r="M158" s="55" t="s">
        <v>1061</v>
      </c>
      <c r="O158" s="19" t="e">
        <f>K158/F158</f>
        <v>#DIV/0!</v>
      </c>
      <c r="P158" s="19" t="e">
        <f>L158/(E158/1000)</f>
        <v>#DIV/0!</v>
      </c>
      <c r="R158" s="20" t="s">
        <v>1297</v>
      </c>
      <c r="T158">
        <v>340</v>
      </c>
      <c r="U158">
        <v>6101</v>
      </c>
      <c r="V158" s="18">
        <f>IFERROR((U158/T158),0)</f>
        <v>17.944117647058825</v>
      </c>
      <c r="W158" s="4">
        <f>F158-U158</f>
        <v>-6101</v>
      </c>
      <c r="X158" s="19" t="e">
        <f>W158/F158</f>
        <v>#DIV/0!</v>
      </c>
      <c r="Y158" s="37"/>
    </row>
    <row r="159" spans="1:25" x14ac:dyDescent="0.35">
      <c r="A159" t="s">
        <v>445</v>
      </c>
      <c r="B159" s="66" t="s">
        <v>1721</v>
      </c>
      <c r="C159" s="67" t="s">
        <v>663</v>
      </c>
      <c r="D159" s="68" t="s">
        <v>1682</v>
      </c>
      <c r="E159" s="59">
        <v>0</v>
      </c>
      <c r="F159" s="59">
        <v>0</v>
      </c>
      <c r="G159" s="34">
        <f>IFERROR((F159/E159),0)</f>
        <v>0</v>
      </c>
      <c r="H159" s="1">
        <v>1173</v>
      </c>
      <c r="I159" s="1">
        <v>19098</v>
      </c>
      <c r="J159" s="64">
        <f>IFERROR((I159/H159),0)</f>
        <v>16.281329923273656</v>
      </c>
      <c r="K159" s="90">
        <f>I159-F159</f>
        <v>19098</v>
      </c>
      <c r="L159" s="90">
        <f>(H159-E159)/1000</f>
        <v>1.173</v>
      </c>
      <c r="M159" s="55" t="s">
        <v>1061</v>
      </c>
      <c r="O159" s="19" t="e">
        <f>K159/F159</f>
        <v>#DIV/0!</v>
      </c>
      <c r="P159" s="19" t="e">
        <f>L159/(E159/1000)</f>
        <v>#DIV/0!</v>
      </c>
      <c r="R159" s="20" t="s">
        <v>1289</v>
      </c>
      <c r="T159">
        <v>433</v>
      </c>
      <c r="U159">
        <v>4314</v>
      </c>
      <c r="V159" s="18">
        <f>IFERROR((U159/T159),0)</f>
        <v>9.9630484988452661</v>
      </c>
      <c r="W159" s="4">
        <f>F159-U159</f>
        <v>-4314</v>
      </c>
      <c r="X159" s="19" t="e">
        <f>W159/F159</f>
        <v>#DIV/0!</v>
      </c>
      <c r="Y159" s="37" t="s">
        <v>1065</v>
      </c>
    </row>
    <row r="160" spans="1:25" x14ac:dyDescent="0.35">
      <c r="A160" t="s">
        <v>755</v>
      </c>
      <c r="B160" s="66" t="s">
        <v>1721</v>
      </c>
      <c r="C160" s="67" t="s">
        <v>1683</v>
      </c>
      <c r="D160" s="68" t="s">
        <v>1684</v>
      </c>
      <c r="E160" s="59">
        <v>0</v>
      </c>
      <c r="F160" s="59">
        <v>0</v>
      </c>
      <c r="G160" s="34">
        <f>IFERROR((F160/E160),0)</f>
        <v>0</v>
      </c>
      <c r="H160" s="1">
        <v>1264</v>
      </c>
      <c r="I160" s="1">
        <v>19024</v>
      </c>
      <c r="J160" s="64">
        <f>IFERROR((I160/H160),0)</f>
        <v>15.050632911392405</v>
      </c>
      <c r="K160" s="90">
        <f>I160-F160</f>
        <v>19024</v>
      </c>
      <c r="L160" s="90">
        <f>(H160-E160)/1000</f>
        <v>1.264</v>
      </c>
      <c r="M160" s="55" t="s">
        <v>1061</v>
      </c>
      <c r="O160" s="19" t="e">
        <f>K160/F160</f>
        <v>#DIV/0!</v>
      </c>
      <c r="P160" s="19" t="e">
        <f>L160/(E160/1000)</f>
        <v>#DIV/0!</v>
      </c>
      <c r="R160" s="20" t="s">
        <v>1310</v>
      </c>
      <c r="W160" s="61"/>
      <c r="Y160" s="55"/>
    </row>
    <row r="161" spans="1:25" x14ac:dyDescent="0.35">
      <c r="A161" t="s">
        <v>593</v>
      </c>
      <c r="B161" s="66" t="s">
        <v>1721</v>
      </c>
      <c r="C161" s="67" t="s">
        <v>1685</v>
      </c>
      <c r="D161" s="68" t="s">
        <v>1686</v>
      </c>
      <c r="E161" s="59">
        <v>0</v>
      </c>
      <c r="F161" s="59">
        <v>0</v>
      </c>
      <c r="G161" s="34">
        <f>IFERROR((F161/E161),0)</f>
        <v>0</v>
      </c>
      <c r="H161" s="1">
        <v>2623</v>
      </c>
      <c r="I161" s="1">
        <v>18270</v>
      </c>
      <c r="J161" s="64">
        <f>IFERROR((I161/H161),0)</f>
        <v>6.9653069004956158</v>
      </c>
      <c r="K161" s="90">
        <f>I161-F161</f>
        <v>18270</v>
      </c>
      <c r="L161" s="90">
        <f>(H161-E161)/1000</f>
        <v>2.6230000000000002</v>
      </c>
      <c r="M161" s="55" t="s">
        <v>1061</v>
      </c>
      <c r="O161" s="19" t="e">
        <f>K161/F161</f>
        <v>#DIV/0!</v>
      </c>
      <c r="P161" s="19" t="e">
        <f>L161/(E161/1000)</f>
        <v>#DIV/0!</v>
      </c>
      <c r="R161" s="20" t="s">
        <v>1299</v>
      </c>
      <c r="T161">
        <v>760</v>
      </c>
      <c r="U161">
        <v>21121</v>
      </c>
      <c r="V161" s="18">
        <f>IFERROR((U161/T161),0)</f>
        <v>27.79078947368421</v>
      </c>
      <c r="W161" s="4">
        <f>F161-U161</f>
        <v>-21121</v>
      </c>
      <c r="X161" s="19" t="e">
        <f>W161/F161</f>
        <v>#DIV/0!</v>
      </c>
      <c r="Y161" s="37" t="s">
        <v>1277</v>
      </c>
    </row>
    <row r="162" spans="1:25" x14ac:dyDescent="0.35">
      <c r="A162" t="s">
        <v>756</v>
      </c>
      <c r="B162" s="66" t="s">
        <v>1721</v>
      </c>
      <c r="C162" s="67" t="s">
        <v>1687</v>
      </c>
      <c r="D162" s="68" t="s">
        <v>1688</v>
      </c>
      <c r="E162" s="59">
        <v>0</v>
      </c>
      <c r="F162" s="59">
        <v>0</v>
      </c>
      <c r="G162" s="34">
        <f>IFERROR((F162/E162),0)</f>
        <v>0</v>
      </c>
      <c r="H162" s="1">
        <v>2700</v>
      </c>
      <c r="I162" s="1">
        <v>17705</v>
      </c>
      <c r="J162" s="64">
        <f>IFERROR((I162/H162),0)</f>
        <v>6.5574074074074078</v>
      </c>
      <c r="K162" s="90">
        <f>I162-F162</f>
        <v>17705</v>
      </c>
      <c r="L162" s="90">
        <f>(H162-E162)/1000</f>
        <v>2.7</v>
      </c>
      <c r="M162" s="55" t="s">
        <v>1061</v>
      </c>
      <c r="O162" s="19" t="e">
        <f>K162/F162</f>
        <v>#DIV/0!</v>
      </c>
      <c r="P162" s="19" t="e">
        <f>L162/(E162/1000)</f>
        <v>#DIV/0!</v>
      </c>
      <c r="R162" s="20" t="s">
        <v>1310</v>
      </c>
      <c r="T162">
        <v>1020</v>
      </c>
      <c r="U162">
        <v>10198</v>
      </c>
      <c r="V162" s="18">
        <f>IFERROR((U162/T162),0)</f>
        <v>9.9980392156862745</v>
      </c>
      <c r="W162" s="4">
        <f>F162-U162</f>
        <v>-10198</v>
      </c>
      <c r="X162" s="19" t="e">
        <f>W162/F162</f>
        <v>#DIV/0!</v>
      </c>
      <c r="Y162" s="37"/>
    </row>
    <row r="163" spans="1:25" x14ac:dyDescent="0.35">
      <c r="A163" t="s">
        <v>1430</v>
      </c>
      <c r="B163" s="66" t="s">
        <v>1394</v>
      </c>
      <c r="C163" s="67" t="s">
        <v>1419</v>
      </c>
      <c r="D163" s="68" t="s">
        <v>1349</v>
      </c>
      <c r="E163" s="60">
        <v>1814</v>
      </c>
      <c r="F163" s="60">
        <v>23412.98</v>
      </c>
      <c r="G163" s="34">
        <f>IFERROR((F163/E163),0)</f>
        <v>12.906824696802646</v>
      </c>
      <c r="H163" s="1">
        <v>3091</v>
      </c>
      <c r="I163" s="1">
        <v>41105</v>
      </c>
      <c r="J163" s="64">
        <f>IFERROR((I163/H163),0)</f>
        <v>13.29828534454869</v>
      </c>
      <c r="K163" s="90">
        <f>I163-F163</f>
        <v>17692.02</v>
      </c>
      <c r="L163" s="90">
        <f>(H163-E163)/1000</f>
        <v>1.2769999999999999</v>
      </c>
      <c r="M163" s="55" t="s">
        <v>1061</v>
      </c>
      <c r="O163" s="19">
        <f>K163/F163</f>
        <v>0.7556500710289763</v>
      </c>
      <c r="P163" s="19">
        <f>L163/(E163/1000)</f>
        <v>0.70396912899669228</v>
      </c>
      <c r="R163" s="20" t="s">
        <v>1299</v>
      </c>
      <c r="T163">
        <v>4590</v>
      </c>
      <c r="U163">
        <v>39175</v>
      </c>
      <c r="V163" s="18">
        <f>IFERROR((U163/T163),0)</f>
        <v>8.5348583877995647</v>
      </c>
      <c r="W163" s="4">
        <f>F163-U163</f>
        <v>-15762.02</v>
      </c>
      <c r="X163" s="19">
        <f>W163/F163</f>
        <v>-0.67321716415424271</v>
      </c>
      <c r="Y163" s="37" t="s">
        <v>1065</v>
      </c>
    </row>
    <row r="164" spans="1:25" x14ac:dyDescent="0.35">
      <c r="A164" t="s">
        <v>426</v>
      </c>
      <c r="B164" s="66" t="s">
        <v>976</v>
      </c>
      <c r="C164" s="67" t="s">
        <v>873</v>
      </c>
      <c r="D164" s="68" t="s">
        <v>874</v>
      </c>
      <c r="E164" s="59">
        <v>619</v>
      </c>
      <c r="F164" s="59">
        <v>11000.42</v>
      </c>
      <c r="G164" s="34">
        <f>IFERROR((F164/E164),0)</f>
        <v>17.771276252019387</v>
      </c>
      <c r="H164" s="1">
        <v>3292</v>
      </c>
      <c r="I164" s="1">
        <v>28640</v>
      </c>
      <c r="J164" s="64">
        <f>IFERROR((I164/H164),0)</f>
        <v>8.6998784933171329</v>
      </c>
      <c r="K164" s="90">
        <f>I164-F164</f>
        <v>17639.580000000002</v>
      </c>
      <c r="L164" s="90">
        <f>(H164-E164)/1000</f>
        <v>2.673</v>
      </c>
      <c r="M164" s="55" t="s">
        <v>1061</v>
      </c>
      <c r="O164" s="19">
        <f>K164/F164</f>
        <v>1.6035369558616854</v>
      </c>
      <c r="P164" s="19">
        <f>L164/(E164/1000)</f>
        <v>4.3182552504038769</v>
      </c>
      <c r="R164" s="20" t="s">
        <v>1310</v>
      </c>
      <c r="T164">
        <v>4284</v>
      </c>
      <c r="U164">
        <v>43887</v>
      </c>
      <c r="V164" s="18">
        <f>IFERROR((U164/T164),0)</f>
        <v>10.244397759103641</v>
      </c>
      <c r="W164" s="4">
        <f>F164-U164</f>
        <v>-32886.58</v>
      </c>
      <c r="X164" s="19">
        <f>W164/F164</f>
        <v>-2.9895749435021575</v>
      </c>
      <c r="Y164" s="37"/>
    </row>
    <row r="165" spans="1:25" x14ac:dyDescent="0.35">
      <c r="A165" t="s">
        <v>586</v>
      </c>
      <c r="B165" s="66" t="s">
        <v>1721</v>
      </c>
      <c r="C165" s="67" t="s">
        <v>1689</v>
      </c>
      <c r="D165" s="68" t="s">
        <v>1690</v>
      </c>
      <c r="E165" s="59">
        <v>0</v>
      </c>
      <c r="F165" s="59">
        <v>0</v>
      </c>
      <c r="G165" s="34">
        <f>IFERROR((F165/E165),0)</f>
        <v>0</v>
      </c>
      <c r="H165" s="1">
        <v>1383</v>
      </c>
      <c r="I165" s="1">
        <v>17494</v>
      </c>
      <c r="J165" s="64">
        <f>IFERROR((I165/H165),0)</f>
        <v>12.649313087490961</v>
      </c>
      <c r="K165" s="90">
        <f>I165-F165</f>
        <v>17494</v>
      </c>
      <c r="L165" s="90">
        <f>(H165-E165)/1000</f>
        <v>1.383</v>
      </c>
      <c r="M165" s="55" t="s">
        <v>1061</v>
      </c>
      <c r="O165" s="19" t="e">
        <f>K165/F165</f>
        <v>#DIV/0!</v>
      </c>
      <c r="P165" s="19" t="e">
        <f>L165/(E165/1000)</f>
        <v>#DIV/0!</v>
      </c>
      <c r="R165" s="20" t="s">
        <v>1288</v>
      </c>
      <c r="T165">
        <v>2295</v>
      </c>
      <c r="U165">
        <v>18203</v>
      </c>
      <c r="V165" s="18">
        <f>IFERROR((U165/T165),0)</f>
        <v>7.9315904139433551</v>
      </c>
      <c r="W165" s="4">
        <f>F165-U165</f>
        <v>-18203</v>
      </c>
      <c r="X165" s="19" t="e">
        <f>W165/F165</f>
        <v>#DIV/0!</v>
      </c>
      <c r="Y165" s="37"/>
    </row>
    <row r="166" spans="1:25" x14ac:dyDescent="0.35">
      <c r="A166" t="s">
        <v>916</v>
      </c>
      <c r="B166" s="66" t="s">
        <v>976</v>
      </c>
      <c r="C166" s="67" t="s">
        <v>928</v>
      </c>
      <c r="D166" s="68" t="s">
        <v>929</v>
      </c>
      <c r="E166" s="60">
        <v>3938</v>
      </c>
      <c r="F166" s="60">
        <v>48247.38</v>
      </c>
      <c r="G166" s="34">
        <f>IFERROR((F166/E166),0)</f>
        <v>12.251747079735907</v>
      </c>
      <c r="H166" s="1">
        <v>5024</v>
      </c>
      <c r="I166" s="1">
        <v>65698</v>
      </c>
      <c r="J166" s="64">
        <f>IFERROR((I166/H166),0)</f>
        <v>13.076831210191083</v>
      </c>
      <c r="K166" s="90">
        <f>I166-F166</f>
        <v>17450.620000000003</v>
      </c>
      <c r="L166" s="90">
        <f>(H166-E166)/1000</f>
        <v>1.0860000000000001</v>
      </c>
      <c r="M166" s="55" t="s">
        <v>1061</v>
      </c>
      <c r="O166" s="19">
        <f>K166/F166</f>
        <v>0.36169052081170011</v>
      </c>
      <c r="P166" s="19">
        <f>L166/(E166/1000)</f>
        <v>0.27577450482478416</v>
      </c>
      <c r="R166" s="20" t="s">
        <v>1305</v>
      </c>
      <c r="W166" s="61"/>
      <c r="Y166" s="55"/>
    </row>
    <row r="167" spans="1:25" x14ac:dyDescent="0.35">
      <c r="A167" t="s">
        <v>556</v>
      </c>
      <c r="B167" s="66" t="s">
        <v>822</v>
      </c>
      <c r="C167" s="67" t="s">
        <v>775</v>
      </c>
      <c r="D167" s="68" t="s">
        <v>377</v>
      </c>
      <c r="E167" s="60">
        <v>989</v>
      </c>
      <c r="F167" s="60">
        <v>11837.5</v>
      </c>
      <c r="G167" s="34">
        <f>IFERROR((F167/E167),0)</f>
        <v>11.969160768452983</v>
      </c>
      <c r="H167" s="1">
        <v>2905</v>
      </c>
      <c r="I167" s="1">
        <v>28964</v>
      </c>
      <c r="J167" s="64">
        <f>IFERROR((I167/H167),0)</f>
        <v>9.9703958691910497</v>
      </c>
      <c r="K167" s="90">
        <f>I167-F167</f>
        <v>17126.5</v>
      </c>
      <c r="L167" s="90">
        <f>(H167-E167)/1000</f>
        <v>1.9159999999999999</v>
      </c>
      <c r="M167" s="55" t="s">
        <v>1061</v>
      </c>
      <c r="O167" s="19">
        <f>K167/F167</f>
        <v>1.4468004223864837</v>
      </c>
      <c r="P167" s="19">
        <f>L167/(E167/1000)</f>
        <v>1.9373104145601616</v>
      </c>
      <c r="R167" s="20" t="s">
        <v>1062</v>
      </c>
      <c r="W167" s="61"/>
      <c r="Y167" s="55"/>
    </row>
    <row r="168" spans="1:25" x14ac:dyDescent="0.35">
      <c r="A168" t="s">
        <v>684</v>
      </c>
      <c r="B168" s="66" t="s">
        <v>1235</v>
      </c>
      <c r="C168" s="67" t="s">
        <v>1015</v>
      </c>
      <c r="D168" s="68" t="s">
        <v>175</v>
      </c>
      <c r="E168" s="60">
        <v>1184</v>
      </c>
      <c r="F168" s="60">
        <v>38311.21</v>
      </c>
      <c r="G168" s="34">
        <f>IFERROR((F168/E168),0)</f>
        <v>32.357440878378377</v>
      </c>
      <c r="H168" s="1">
        <v>4250</v>
      </c>
      <c r="I168" s="1">
        <v>55200</v>
      </c>
      <c r="J168" s="64">
        <f>IFERROR((I168/H168),0)</f>
        <v>12.988235294117647</v>
      </c>
      <c r="K168" s="90">
        <f>I168-F168</f>
        <v>16888.79</v>
      </c>
      <c r="L168" s="90">
        <f>(H168-E168)/1000</f>
        <v>3.0659999999999998</v>
      </c>
      <c r="M168" s="55" t="s">
        <v>1061</v>
      </c>
      <c r="O168" s="19">
        <f>K168/F168</f>
        <v>0.44083154773759431</v>
      </c>
      <c r="P168" s="19">
        <f>L168/(E168/1000)</f>
        <v>2.5895270270270272</v>
      </c>
      <c r="R168" s="20" t="s">
        <v>1601</v>
      </c>
      <c r="W168" s="61"/>
      <c r="Y168" s="55"/>
    </row>
    <row r="169" spans="1:25" x14ac:dyDescent="0.35">
      <c r="A169" t="s">
        <v>1142</v>
      </c>
      <c r="B169" s="66" t="s">
        <v>1721</v>
      </c>
      <c r="C169" s="67" t="s">
        <v>1691</v>
      </c>
      <c r="D169" s="68" t="s">
        <v>1692</v>
      </c>
      <c r="E169" s="59">
        <v>0</v>
      </c>
      <c r="F169" s="59">
        <v>0</v>
      </c>
      <c r="G169" s="34">
        <f>IFERROR((F169/E169),0)</f>
        <v>0</v>
      </c>
      <c r="H169" s="1">
        <v>1250</v>
      </c>
      <c r="I169" s="1">
        <v>16879</v>
      </c>
      <c r="J169" s="64">
        <f>IFERROR((I169/H169),0)</f>
        <v>13.5032</v>
      </c>
      <c r="K169" s="90">
        <f>I169-F169</f>
        <v>16879</v>
      </c>
      <c r="L169" s="90">
        <f>(H169-E169)/1000</f>
        <v>1.25</v>
      </c>
      <c r="M169" s="55" t="s">
        <v>1061</v>
      </c>
      <c r="O169" s="19" t="e">
        <f>K169/F169</f>
        <v>#DIV/0!</v>
      </c>
      <c r="P169" s="19" t="e">
        <f>L169/(E169/1000)</f>
        <v>#DIV/0!</v>
      </c>
      <c r="R169" s="20" t="s">
        <v>1291</v>
      </c>
      <c r="T169">
        <v>0</v>
      </c>
      <c r="U169">
        <v>0</v>
      </c>
      <c r="V169" s="18">
        <f>IFERROR((U169/T169),0)</f>
        <v>0</v>
      </c>
      <c r="W169" s="4">
        <f>F169-U169</f>
        <v>0</v>
      </c>
      <c r="X169" s="19" t="e">
        <f>W169/F169</f>
        <v>#DIV/0!</v>
      </c>
      <c r="Y169" s="37"/>
    </row>
    <row r="170" spans="1:25" x14ac:dyDescent="0.35">
      <c r="A170" t="s">
        <v>497</v>
      </c>
      <c r="B170" s="66" t="s">
        <v>815</v>
      </c>
      <c r="C170" s="67" t="s">
        <v>676</v>
      </c>
      <c r="D170" s="68" t="s">
        <v>105</v>
      </c>
      <c r="E170" s="60">
        <v>5274</v>
      </c>
      <c r="F170" s="60">
        <v>50973.11</v>
      </c>
      <c r="G170" s="34">
        <f>IFERROR((F170/E170),0)</f>
        <v>9.664981039059537</v>
      </c>
      <c r="H170" s="1">
        <v>6064</v>
      </c>
      <c r="I170" s="1">
        <v>67787</v>
      </c>
      <c r="J170" s="64">
        <f>IFERROR((I170/H170),0)</f>
        <v>11.178594986807388</v>
      </c>
      <c r="K170" s="90">
        <f>I170-F170</f>
        <v>16813.89</v>
      </c>
      <c r="L170" s="90">
        <f>(H170-E170)/1000</f>
        <v>0.79</v>
      </c>
      <c r="M170" s="55" t="s">
        <v>1061</v>
      </c>
      <c r="O170" s="19">
        <f>K170/F170</f>
        <v>0.32985803691397286</v>
      </c>
      <c r="P170" s="19">
        <f>L170/(E170/1000)</f>
        <v>0.14979142965491088</v>
      </c>
      <c r="R170" s="20" t="s">
        <v>1291</v>
      </c>
      <c r="W170" s="61"/>
      <c r="Y170" s="55"/>
    </row>
    <row r="171" spans="1:25" x14ac:dyDescent="0.35">
      <c r="A171" t="s">
        <v>758</v>
      </c>
      <c r="B171" s="66" t="s">
        <v>1595</v>
      </c>
      <c r="C171" s="67" t="s">
        <v>1517</v>
      </c>
      <c r="D171" s="68" t="s">
        <v>1568</v>
      </c>
      <c r="E171" s="60">
        <v>2753</v>
      </c>
      <c r="F171" s="60">
        <v>32154.22</v>
      </c>
      <c r="G171" s="34">
        <f>IFERROR((F171/E171),0)</f>
        <v>11.6797021431166</v>
      </c>
      <c r="H171" s="1">
        <v>3462</v>
      </c>
      <c r="I171" s="1">
        <v>48763</v>
      </c>
      <c r="J171" s="64">
        <f>IFERROR((I171/H171),0)</f>
        <v>14.085210860774119</v>
      </c>
      <c r="K171" s="90">
        <f>I171-F171</f>
        <v>16608.78</v>
      </c>
      <c r="L171" s="90">
        <f>(H171-E171)/1000</f>
        <v>0.70899999999999996</v>
      </c>
      <c r="M171" s="55" t="s">
        <v>1061</v>
      </c>
      <c r="O171" s="19">
        <f>K171/F171</f>
        <v>0.51653499913852674</v>
      </c>
      <c r="P171" s="19">
        <f>L171/(E171/1000)</f>
        <v>0.25753723211042495</v>
      </c>
      <c r="R171" s="20" t="s">
        <v>1282</v>
      </c>
      <c r="W171" s="61"/>
      <c r="Y171" s="55"/>
    </row>
    <row r="172" spans="1:25" x14ac:dyDescent="0.35">
      <c r="A172" t="s">
        <v>1093</v>
      </c>
      <c r="B172" s="66" t="s">
        <v>1721</v>
      </c>
      <c r="C172" s="67" t="s">
        <v>1693</v>
      </c>
      <c r="D172" s="68" t="s">
        <v>1694</v>
      </c>
      <c r="E172" s="59">
        <v>0</v>
      </c>
      <c r="F172" s="59">
        <v>0</v>
      </c>
      <c r="G172" s="34">
        <f>IFERROR((F172/E172),0)</f>
        <v>0</v>
      </c>
      <c r="H172" s="1">
        <v>562</v>
      </c>
      <c r="I172" s="1">
        <v>16387</v>
      </c>
      <c r="J172" s="64">
        <f>IFERROR((I172/H172),0)</f>
        <v>29.158362989323845</v>
      </c>
      <c r="K172" s="90">
        <f>I172-F172</f>
        <v>16387</v>
      </c>
      <c r="L172" s="90">
        <f>(H172-E172)/1000</f>
        <v>0.56200000000000006</v>
      </c>
      <c r="M172" s="55" t="s">
        <v>1061</v>
      </c>
      <c r="O172" s="19" t="e">
        <f>K172/F172</f>
        <v>#DIV/0!</v>
      </c>
      <c r="P172" s="19" t="e">
        <f>L172/(E172/1000)</f>
        <v>#DIV/0!</v>
      </c>
      <c r="R172" s="20" t="s">
        <v>1300</v>
      </c>
      <c r="W172" s="61"/>
      <c r="Y172" s="55"/>
    </row>
    <row r="173" spans="1:25" x14ac:dyDescent="0.35">
      <c r="A173" t="s">
        <v>1136</v>
      </c>
      <c r="B173" s="66" t="s">
        <v>1219</v>
      </c>
      <c r="C173" s="67" t="s">
        <v>1125</v>
      </c>
      <c r="D173" s="68" t="s">
        <v>1188</v>
      </c>
      <c r="E173" s="60">
        <v>605</v>
      </c>
      <c r="F173" s="60">
        <v>9082.8780000000006</v>
      </c>
      <c r="G173" s="34">
        <f>IFERROR((F173/E173),0)</f>
        <v>15.013021487603307</v>
      </c>
      <c r="H173" s="1">
        <v>1860</v>
      </c>
      <c r="I173" s="1">
        <v>25337</v>
      </c>
      <c r="J173" s="64">
        <f>IFERROR((I173/H173),0)</f>
        <v>13.622043010752687</v>
      </c>
      <c r="K173" s="90">
        <f>I173-F173</f>
        <v>16254.121999999999</v>
      </c>
      <c r="L173" s="90">
        <f>(H173-E173)/1000</f>
        <v>1.2549999999999999</v>
      </c>
      <c r="M173" s="55" t="s">
        <v>1061</v>
      </c>
      <c r="O173" s="19">
        <f>K173/F173</f>
        <v>1.7895343304181779</v>
      </c>
      <c r="P173" s="19">
        <f>L173/(E173/1000)</f>
        <v>2.0743801652892562</v>
      </c>
      <c r="R173" s="20" t="s">
        <v>1305</v>
      </c>
      <c r="T173">
        <v>0</v>
      </c>
      <c r="U173">
        <v>0</v>
      </c>
      <c r="V173" s="18">
        <f>IFERROR((U173/T173),0)</f>
        <v>0</v>
      </c>
      <c r="W173" s="4">
        <f>F173-U173</f>
        <v>9082.8780000000006</v>
      </c>
      <c r="X173" s="19">
        <f>W173/F173</f>
        <v>1</v>
      </c>
      <c r="Y173" s="37"/>
    </row>
    <row r="174" spans="1:25" x14ac:dyDescent="0.35">
      <c r="A174" t="s">
        <v>1432</v>
      </c>
      <c r="B174" s="85" t="s">
        <v>828</v>
      </c>
      <c r="C174" s="67" t="s">
        <v>613</v>
      </c>
      <c r="D174" s="68" t="s">
        <v>269</v>
      </c>
      <c r="E174" s="59">
        <v>0</v>
      </c>
      <c r="F174" s="59">
        <v>0</v>
      </c>
      <c r="G174" s="34">
        <f>IFERROR((F174/E174),0)</f>
        <v>0</v>
      </c>
      <c r="H174" s="1">
        <v>1822</v>
      </c>
      <c r="I174" s="1">
        <v>15123</v>
      </c>
      <c r="J174" s="64">
        <f>IFERROR((I174/H174),0)</f>
        <v>8.3002195389681663</v>
      </c>
      <c r="K174" s="90">
        <f>I174-F174</f>
        <v>15123</v>
      </c>
      <c r="L174" s="90">
        <f>(H174-E174)/1000</f>
        <v>1.8220000000000001</v>
      </c>
      <c r="M174" s="55" t="s">
        <v>1061</v>
      </c>
      <c r="O174" s="19" t="e">
        <f>K174/F174</f>
        <v>#DIV/0!</v>
      </c>
      <c r="P174" s="19" t="e">
        <f>L174/(E174/1000)</f>
        <v>#DIV/0!</v>
      </c>
      <c r="R174" s="20" t="s">
        <v>1060</v>
      </c>
      <c r="W174" s="61"/>
      <c r="Y174" s="55"/>
    </row>
    <row r="175" spans="1:25" x14ac:dyDescent="0.35">
      <c r="A175" t="s">
        <v>759</v>
      </c>
      <c r="B175" s="66" t="s">
        <v>821</v>
      </c>
      <c r="C175" s="67" t="s">
        <v>635</v>
      </c>
      <c r="D175" s="68" t="s">
        <v>125</v>
      </c>
      <c r="E175" s="60">
        <v>898</v>
      </c>
      <c r="F175" s="60">
        <v>9394.2999999999993</v>
      </c>
      <c r="G175" s="34">
        <f>IFERROR((F175/E175),0)</f>
        <v>10.461358574610244</v>
      </c>
      <c r="H175" s="1">
        <v>2358</v>
      </c>
      <c r="I175" s="1">
        <v>24201</v>
      </c>
      <c r="J175" s="64">
        <f>IFERROR((I175/H175),0)</f>
        <v>10.263358778625955</v>
      </c>
      <c r="K175" s="90">
        <f>I175-F175</f>
        <v>14806.7</v>
      </c>
      <c r="L175" s="90">
        <f>(H175-E175)/1000</f>
        <v>1.46</v>
      </c>
      <c r="M175" s="55" t="s">
        <v>1061</v>
      </c>
      <c r="O175" s="19">
        <f>K175/F175</f>
        <v>1.576136593466251</v>
      </c>
      <c r="P175" s="19">
        <f>L175/(E175/1000)</f>
        <v>1.6258351893095768</v>
      </c>
      <c r="R175" s="20" t="s">
        <v>1280</v>
      </c>
      <c r="T175">
        <v>879</v>
      </c>
      <c r="U175">
        <v>20878</v>
      </c>
      <c r="V175" s="18">
        <f>IFERROR((U175/T175),0)</f>
        <v>23.751990898748577</v>
      </c>
      <c r="W175" s="4">
        <f>F175-U175</f>
        <v>-11483.7</v>
      </c>
      <c r="X175" s="19">
        <f>W175/F175</f>
        <v>-1.2224114622696742</v>
      </c>
      <c r="Y175" s="37"/>
    </row>
    <row r="176" spans="1:25" x14ac:dyDescent="0.35">
      <c r="A176" t="s">
        <v>1110</v>
      </c>
      <c r="B176" s="66" t="s">
        <v>1394</v>
      </c>
      <c r="C176" s="67" t="s">
        <v>1440</v>
      </c>
      <c r="D176" s="68" t="s">
        <v>1360</v>
      </c>
      <c r="E176" s="60">
        <v>6973</v>
      </c>
      <c r="F176" s="60">
        <v>67156.36</v>
      </c>
      <c r="G176" s="56">
        <f>IFERROR((F176/E176),0)</f>
        <v>9.6309135235909942</v>
      </c>
      <c r="H176" s="1">
        <v>8489</v>
      </c>
      <c r="I176" s="1">
        <v>81917</v>
      </c>
      <c r="J176" s="64">
        <f>IFERROR((I176/H176),0)</f>
        <v>9.6497820709153022</v>
      </c>
      <c r="K176" s="90">
        <f>I176-F176</f>
        <v>14760.64</v>
      </c>
      <c r="L176" s="90">
        <f>(H176-E176)/1000</f>
        <v>1.516</v>
      </c>
      <c r="M176" s="55" t="s">
        <v>1061</v>
      </c>
      <c r="O176" s="19">
        <f>K176/F176</f>
        <v>0.21979511694797038</v>
      </c>
      <c r="P176" s="19">
        <f>L176/(E176/1000)</f>
        <v>0.21741001003872079</v>
      </c>
      <c r="R176" s="20" t="s">
        <v>1310</v>
      </c>
      <c r="W176" s="61"/>
      <c r="Y176" s="55"/>
    </row>
    <row r="177" spans="1:25" x14ac:dyDescent="0.35">
      <c r="A177" t="s">
        <v>685</v>
      </c>
      <c r="B177" s="66" t="s">
        <v>1595</v>
      </c>
      <c r="C177" s="67" t="s">
        <v>1538</v>
      </c>
      <c r="D177" s="68" t="s">
        <v>1590</v>
      </c>
      <c r="E177" s="60">
        <v>839</v>
      </c>
      <c r="F177" s="60">
        <v>6977.4250000000002</v>
      </c>
      <c r="G177" s="34">
        <f>IFERROR((F177/E177),0)</f>
        <v>8.3163587604290825</v>
      </c>
      <c r="H177" s="1">
        <v>2215</v>
      </c>
      <c r="I177" s="1">
        <v>20962</v>
      </c>
      <c r="J177" s="64">
        <f>IFERROR((I177/H177),0)</f>
        <v>9.4636568848758458</v>
      </c>
      <c r="K177" s="90">
        <f>I177-F177</f>
        <v>13984.575000000001</v>
      </c>
      <c r="L177" s="90">
        <f>(H177-E177)/1000</f>
        <v>1.3759999999999999</v>
      </c>
      <c r="M177" s="55" t="s">
        <v>1061</v>
      </c>
      <c r="O177" s="19">
        <f>K177/F177</f>
        <v>2.0042601676119771</v>
      </c>
      <c r="P177" s="19">
        <f>L177/(E177/1000)</f>
        <v>1.640047675804529</v>
      </c>
      <c r="R177" s="20" t="s">
        <v>1287</v>
      </c>
      <c r="W177" s="61"/>
      <c r="Y177" s="55"/>
    </row>
    <row r="178" spans="1:25" x14ac:dyDescent="0.35">
      <c r="A178" t="s">
        <v>1436</v>
      </c>
      <c r="B178" s="66" t="s">
        <v>1595</v>
      </c>
      <c r="C178" s="67" t="s">
        <v>1503</v>
      </c>
      <c r="D178" s="68" t="s">
        <v>1555</v>
      </c>
      <c r="E178" s="60">
        <v>339</v>
      </c>
      <c r="F178" s="60">
        <v>5059.1319999999996</v>
      </c>
      <c r="G178" s="34">
        <f>IFERROR((F178/E178),0)</f>
        <v>14.923693215339233</v>
      </c>
      <c r="H178" s="1">
        <v>833</v>
      </c>
      <c r="I178" s="1">
        <v>18946</v>
      </c>
      <c r="J178" s="64">
        <f>IFERROR((I178/H178),0)</f>
        <v>22.744297719087633</v>
      </c>
      <c r="K178" s="90">
        <f>I178-F178</f>
        <v>13886.868</v>
      </c>
      <c r="L178" s="90">
        <f>(H178-E178)/1000</f>
        <v>0.49399999999999999</v>
      </c>
      <c r="M178" s="55" t="s">
        <v>1061</v>
      </c>
      <c r="O178" s="19">
        <f>K178/F178</f>
        <v>2.7449111823925532</v>
      </c>
      <c r="P178" s="19">
        <f>L178/(E178/1000)</f>
        <v>1.4572271386430677</v>
      </c>
      <c r="R178" s="20" t="s">
        <v>1282</v>
      </c>
      <c r="W178" s="61"/>
      <c r="Y178" s="55"/>
    </row>
    <row r="179" spans="1:25" x14ac:dyDescent="0.35">
      <c r="A179" t="s">
        <v>1439</v>
      </c>
      <c r="B179" s="66" t="s">
        <v>1061</v>
      </c>
      <c r="C179" s="67" t="s">
        <v>622</v>
      </c>
      <c r="D179" s="68" t="s">
        <v>184</v>
      </c>
      <c r="E179" s="60">
        <v>1620</v>
      </c>
      <c r="F179" s="60">
        <v>25664.69</v>
      </c>
      <c r="G179" s="34">
        <f>IFERROR((F179/E179),0)</f>
        <v>15.8424012345679</v>
      </c>
      <c r="H179" s="1">
        <v>2105</v>
      </c>
      <c r="I179" s="1">
        <v>39517</v>
      </c>
      <c r="J179" s="64">
        <f>IFERROR((I179/H179),0)</f>
        <v>18.772921615201899</v>
      </c>
      <c r="K179" s="90">
        <f>I179-F179</f>
        <v>13852.310000000001</v>
      </c>
      <c r="L179" s="90">
        <f>(H179-E179)/1000</f>
        <v>0.48499999999999999</v>
      </c>
      <c r="M179" s="55" t="s">
        <v>1061</v>
      </c>
      <c r="O179" s="19">
        <f>K179/F179</f>
        <v>0.53974195675069525</v>
      </c>
      <c r="P179" s="19">
        <f>L179/(E179/1000)</f>
        <v>0.29938271604938271</v>
      </c>
      <c r="R179" s="20" t="s">
        <v>1601</v>
      </c>
      <c r="W179" s="61"/>
      <c r="Y179" s="55"/>
    </row>
    <row r="180" spans="1:25" x14ac:dyDescent="0.35">
      <c r="A180" t="s">
        <v>648</v>
      </c>
      <c r="B180" s="66" t="s">
        <v>1394</v>
      </c>
      <c r="C180" s="67" t="s">
        <v>1463</v>
      </c>
      <c r="D180" s="68" t="s">
        <v>1380</v>
      </c>
      <c r="E180" s="60">
        <v>3207</v>
      </c>
      <c r="F180" s="60">
        <v>46192.75</v>
      </c>
      <c r="G180" s="34">
        <f>IFERROR((F180/E180),0)</f>
        <v>14.403726223885251</v>
      </c>
      <c r="H180" s="1">
        <v>4309</v>
      </c>
      <c r="I180" s="1">
        <v>59246</v>
      </c>
      <c r="J180" s="64">
        <f>IFERROR((I180/H180),0)</f>
        <v>13.749361800881875</v>
      </c>
      <c r="K180" s="90">
        <f>I180-F180</f>
        <v>13053.25</v>
      </c>
      <c r="L180" s="90">
        <f>(H180-E180)/1000</f>
        <v>1.1020000000000001</v>
      </c>
      <c r="M180" s="55" t="s">
        <v>1061</v>
      </c>
      <c r="O180" s="19">
        <f>K180/F180</f>
        <v>0.28258222340085837</v>
      </c>
      <c r="P180" s="19">
        <f>L180/(E180/1000)</f>
        <v>0.34362332397879641</v>
      </c>
      <c r="R180" s="20" t="s">
        <v>1303</v>
      </c>
      <c r="W180" s="61"/>
      <c r="Y180" s="55"/>
    </row>
    <row r="181" spans="1:25" x14ac:dyDescent="0.35">
      <c r="A181" t="s">
        <v>1440</v>
      </c>
      <c r="B181" s="66" t="s">
        <v>837</v>
      </c>
      <c r="C181" s="67" t="s">
        <v>780</v>
      </c>
      <c r="D181" s="68" t="s">
        <v>383</v>
      </c>
      <c r="E181" s="60">
        <v>132</v>
      </c>
      <c r="F181" s="60">
        <v>2311.2600000000002</v>
      </c>
      <c r="G181" s="34">
        <f>IFERROR((F181/E181),0)</f>
        <v>17.509545454545457</v>
      </c>
      <c r="H181" s="1">
        <v>615</v>
      </c>
      <c r="I181" s="1">
        <v>14567</v>
      </c>
      <c r="J181" s="64">
        <f>IFERROR((I181/H181),0)</f>
        <v>23.686178861788619</v>
      </c>
      <c r="K181" s="90">
        <f>I181-F181</f>
        <v>12255.74</v>
      </c>
      <c r="L181" s="90">
        <f>(H181-E181)/1000</f>
        <v>0.48299999999999998</v>
      </c>
      <c r="M181" s="55" t="s">
        <v>1061</v>
      </c>
      <c r="O181" s="19">
        <f>K181/F181</f>
        <v>5.3026228117996235</v>
      </c>
      <c r="P181" s="19">
        <f>L181/(E181/1000)</f>
        <v>3.6590909090909087</v>
      </c>
      <c r="R181" s="20" t="s">
        <v>1297</v>
      </c>
      <c r="T181">
        <v>8513</v>
      </c>
      <c r="U181">
        <v>130761</v>
      </c>
      <c r="V181" s="18">
        <f>IFERROR((U181/T181),0)</f>
        <v>15.36015505697169</v>
      </c>
      <c r="W181" s="4">
        <f>F181-U181</f>
        <v>-128449.74</v>
      </c>
      <c r="X181" s="19">
        <f>W181/F181</f>
        <v>-55.575634069728196</v>
      </c>
      <c r="Y181" s="37"/>
    </row>
    <row r="182" spans="1:25" x14ac:dyDescent="0.35">
      <c r="A182" t="s">
        <v>795</v>
      </c>
      <c r="B182" s="85" t="s">
        <v>1061</v>
      </c>
      <c r="C182" s="67" t="s">
        <v>705</v>
      </c>
      <c r="D182" s="68" t="s">
        <v>166</v>
      </c>
      <c r="E182" s="59">
        <v>0</v>
      </c>
      <c r="F182" s="59">
        <v>0</v>
      </c>
      <c r="G182" s="34">
        <f>IFERROR((F182/E182),0)</f>
        <v>0</v>
      </c>
      <c r="H182" s="1">
        <v>1340</v>
      </c>
      <c r="I182" s="1">
        <v>12042</v>
      </c>
      <c r="J182" s="64">
        <f>IFERROR((I182/H182),0)</f>
        <v>8.9865671641791049</v>
      </c>
      <c r="K182" s="90">
        <f>I182-F182</f>
        <v>12042</v>
      </c>
      <c r="L182" s="90">
        <f>(H182-E182)/1000</f>
        <v>1.34</v>
      </c>
      <c r="M182" s="55" t="s">
        <v>1061</v>
      </c>
      <c r="O182" s="19" t="e">
        <f>K182/F182</f>
        <v>#DIV/0!</v>
      </c>
      <c r="P182" s="19" t="e">
        <f>L182/(E182/1000)</f>
        <v>#DIV/0!</v>
      </c>
      <c r="R182" s="20" t="s">
        <v>1310</v>
      </c>
      <c r="W182" s="61"/>
      <c r="Y182" s="55"/>
    </row>
    <row r="183" spans="1:25" x14ac:dyDescent="0.35">
      <c r="A183" t="s">
        <v>760</v>
      </c>
      <c r="B183" s="66" t="s">
        <v>1219</v>
      </c>
      <c r="C183" s="67" t="s">
        <v>1090</v>
      </c>
      <c r="D183" s="68" t="s">
        <v>1265</v>
      </c>
      <c r="E183" s="60">
        <v>0</v>
      </c>
      <c r="F183" s="60">
        <v>0</v>
      </c>
      <c r="G183" s="34">
        <f>IFERROR((F183/E183),0)</f>
        <v>0</v>
      </c>
      <c r="H183" s="1">
        <v>906</v>
      </c>
      <c r="I183" s="1">
        <v>11519</v>
      </c>
      <c r="J183" s="64">
        <f>IFERROR((I183/H183),0)</f>
        <v>12.714128035320089</v>
      </c>
      <c r="K183" s="90">
        <f>I183-F183</f>
        <v>11519</v>
      </c>
      <c r="L183" s="90">
        <f>(H183-E183)/1000</f>
        <v>0.90600000000000003</v>
      </c>
      <c r="M183" s="55" t="s">
        <v>1061</v>
      </c>
      <c r="O183" s="19" t="e">
        <f>K183/F183</f>
        <v>#DIV/0!</v>
      </c>
      <c r="P183" s="19" t="e">
        <f>L183/(E183/1000)</f>
        <v>#DIV/0!</v>
      </c>
      <c r="R183" s="20" t="s">
        <v>1282</v>
      </c>
      <c r="W183" s="61"/>
      <c r="Y183" s="55"/>
    </row>
    <row r="184" spans="1:25" x14ac:dyDescent="0.35">
      <c r="A184" t="s">
        <v>918</v>
      </c>
      <c r="B184" s="66" t="s">
        <v>817</v>
      </c>
      <c r="C184" s="67" t="s">
        <v>520</v>
      </c>
      <c r="D184" s="68" t="s">
        <v>90</v>
      </c>
      <c r="E184" s="60">
        <v>571</v>
      </c>
      <c r="F184" s="60">
        <v>5932.634</v>
      </c>
      <c r="G184" s="34">
        <f>IFERROR((F184/E184),0)</f>
        <v>10.389901926444834</v>
      </c>
      <c r="H184" s="1">
        <v>1816</v>
      </c>
      <c r="I184" s="1">
        <v>17347</v>
      </c>
      <c r="J184" s="64">
        <f>IFERROR((I184/H184),0)</f>
        <v>9.552312775330396</v>
      </c>
      <c r="K184" s="90">
        <f>I184-F184</f>
        <v>11414.366</v>
      </c>
      <c r="L184" s="90">
        <f>(H184-E184)/1000</f>
        <v>1.2450000000000001</v>
      </c>
      <c r="M184" s="55" t="s">
        <v>1061</v>
      </c>
      <c r="O184" s="19">
        <f>K184/F184</f>
        <v>1.9239963227126433</v>
      </c>
      <c r="P184" s="19">
        <f>L184/(E184/1000)</f>
        <v>2.1803852889667255</v>
      </c>
      <c r="R184" s="20" t="s">
        <v>1601</v>
      </c>
      <c r="T184">
        <v>1147</v>
      </c>
      <c r="U184">
        <v>12297</v>
      </c>
      <c r="V184" s="18">
        <f>IFERROR((U184/T184),0)</f>
        <v>10.721011333914559</v>
      </c>
      <c r="W184" s="4">
        <f>F184-U184</f>
        <v>-6364.366</v>
      </c>
      <c r="X184" s="19">
        <f>W184/F184</f>
        <v>-1.072772397555622</v>
      </c>
      <c r="Y184" s="37"/>
    </row>
    <row r="185" spans="1:25" x14ac:dyDescent="0.35">
      <c r="A185" t="s">
        <v>1441</v>
      </c>
      <c r="B185" s="66" t="s">
        <v>827</v>
      </c>
      <c r="C185" s="67" t="s">
        <v>455</v>
      </c>
      <c r="D185" s="68" t="s">
        <v>58</v>
      </c>
      <c r="E185" s="60">
        <v>15343</v>
      </c>
      <c r="F185" s="60">
        <v>300453</v>
      </c>
      <c r="G185" s="34">
        <f>IFERROR((F185/E185),0)</f>
        <v>19.582415433748288</v>
      </c>
      <c r="H185" s="1">
        <v>18269</v>
      </c>
      <c r="I185" s="1">
        <v>311786</v>
      </c>
      <c r="J185" s="64">
        <f>IFERROR((I185/H185),0)</f>
        <v>17.066396628167936</v>
      </c>
      <c r="K185" s="90">
        <f>I185-F185</f>
        <v>11333</v>
      </c>
      <c r="L185" s="90">
        <f>(H185-E185)/1000</f>
        <v>2.9260000000000002</v>
      </c>
      <c r="M185" s="55" t="s">
        <v>1061</v>
      </c>
      <c r="O185" s="19">
        <f>K185/F185</f>
        <v>3.7719709904710554E-2</v>
      </c>
      <c r="P185" s="19">
        <f>L185/(E185/1000)</f>
        <v>0.19070585934954051</v>
      </c>
      <c r="R185" s="20" t="s">
        <v>1305</v>
      </c>
      <c r="T185">
        <v>4042</v>
      </c>
      <c r="U185">
        <v>51743</v>
      </c>
      <c r="V185" s="18">
        <f>IFERROR((U185/T185),0)</f>
        <v>12.801335972290945</v>
      </c>
      <c r="W185" s="4">
        <f>F185-U185</f>
        <v>248710</v>
      </c>
      <c r="X185" s="19">
        <f>W185/F185</f>
        <v>0.82778338042888566</v>
      </c>
      <c r="Y185" s="37"/>
    </row>
    <row r="186" spans="1:25" x14ac:dyDescent="0.35">
      <c r="A186" t="s">
        <v>468</v>
      </c>
      <c r="B186" s="66" t="s">
        <v>1394</v>
      </c>
      <c r="C186" s="67" t="s">
        <v>1397</v>
      </c>
      <c r="D186" s="68" t="s">
        <v>1337</v>
      </c>
      <c r="E186" s="59">
        <v>10936</v>
      </c>
      <c r="F186" s="59">
        <v>115821</v>
      </c>
      <c r="G186" s="34">
        <f>IFERROR((F186/E186),0)</f>
        <v>10.590801024140454</v>
      </c>
      <c r="H186" s="1">
        <v>12138</v>
      </c>
      <c r="I186" s="1">
        <v>127114</v>
      </c>
      <c r="J186" s="64">
        <f>IFERROR((I186/H186),0)</f>
        <v>10.472400724995881</v>
      </c>
      <c r="K186" s="90">
        <f>I186-F186</f>
        <v>11293</v>
      </c>
      <c r="L186" s="90">
        <f>(H186-E186)/1000</f>
        <v>1.202</v>
      </c>
      <c r="M186" s="55" t="s">
        <v>1061</v>
      </c>
      <c r="O186" s="19">
        <f>K186/F186</f>
        <v>9.7503906890805639E-2</v>
      </c>
      <c r="P186" s="19">
        <f>L186/(E186/1000)</f>
        <v>0.10991221653255304</v>
      </c>
      <c r="R186" s="20" t="s">
        <v>1299</v>
      </c>
      <c r="T186">
        <v>0</v>
      </c>
      <c r="U186">
        <v>0</v>
      </c>
      <c r="V186" s="18">
        <f>IFERROR((U186/T186),0)</f>
        <v>0</v>
      </c>
      <c r="W186" s="4">
        <f>F186-U186</f>
        <v>115821</v>
      </c>
      <c r="X186" s="19">
        <f>W186/F186</f>
        <v>1</v>
      </c>
      <c r="Y186" s="37"/>
    </row>
    <row r="187" spans="1:25" x14ac:dyDescent="0.35">
      <c r="A187" t="s">
        <v>585</v>
      </c>
      <c r="B187" s="66" t="s">
        <v>1219</v>
      </c>
      <c r="C187" s="67" t="s">
        <v>1105</v>
      </c>
      <c r="D187" s="68" t="s">
        <v>1182</v>
      </c>
      <c r="E187" s="60">
        <v>1531</v>
      </c>
      <c r="F187" s="60">
        <v>19100.07</v>
      </c>
      <c r="G187" s="34">
        <f>IFERROR((F187/E187),0)</f>
        <v>12.475551926845199</v>
      </c>
      <c r="H187" s="1">
        <v>2771</v>
      </c>
      <c r="I187" s="1">
        <v>30318</v>
      </c>
      <c r="J187" s="64">
        <f>IFERROR((I187/H187),0)</f>
        <v>10.941176470588236</v>
      </c>
      <c r="K187" s="90">
        <f>I187-F187</f>
        <v>11217.93</v>
      </c>
      <c r="L187" s="90">
        <f>(H187-E187)/1000</f>
        <v>1.24</v>
      </c>
      <c r="M187" s="55" t="s">
        <v>1061</v>
      </c>
      <c r="O187" s="19">
        <f>K187/F187</f>
        <v>0.58732402551404261</v>
      </c>
      <c r="P187" s="19">
        <f>L187/(E187/1000)</f>
        <v>0.80992815153494457</v>
      </c>
      <c r="R187" s="20" t="s">
        <v>1283</v>
      </c>
      <c r="T187">
        <v>9650</v>
      </c>
      <c r="U187">
        <v>92373</v>
      </c>
      <c r="V187" s="18">
        <f>IFERROR((U187/T187),0)</f>
        <v>9.5723316062176167</v>
      </c>
      <c r="W187" s="4">
        <f>F187-U187</f>
        <v>-73272.929999999993</v>
      </c>
      <c r="X187" s="19">
        <f>W187/F187</f>
        <v>-3.8362649979816825</v>
      </c>
      <c r="Y187" s="37"/>
    </row>
    <row r="188" spans="1:25" x14ac:dyDescent="0.35">
      <c r="A188" t="s">
        <v>464</v>
      </c>
      <c r="B188" s="66" t="s">
        <v>817</v>
      </c>
      <c r="C188" s="67" t="s">
        <v>425</v>
      </c>
      <c r="D188" s="68" t="s">
        <v>39</v>
      </c>
      <c r="E188" s="60">
        <v>41609</v>
      </c>
      <c r="F188" s="60">
        <v>546200.80000000005</v>
      </c>
      <c r="G188" s="34">
        <f>IFERROR((F188/E188),0)</f>
        <v>13.126986949938717</v>
      </c>
      <c r="H188" s="1">
        <v>43957</v>
      </c>
      <c r="I188" s="1">
        <v>557394</v>
      </c>
      <c r="J188" s="64">
        <f>IFERROR((I188/H188),0)</f>
        <v>12.680437700480015</v>
      </c>
      <c r="K188" s="90">
        <f>I188-F188</f>
        <v>11193.199999999953</v>
      </c>
      <c r="L188" s="90">
        <f>(H188-E188)/1000</f>
        <v>2.3479999999999999</v>
      </c>
      <c r="M188" s="55" t="s">
        <v>1061</v>
      </c>
      <c r="O188" s="19">
        <f>K188/F188</f>
        <v>2.0492829743200582E-2</v>
      </c>
      <c r="P188" s="19">
        <f>L188/(E188/1000)</f>
        <v>5.6430099257372197E-2</v>
      </c>
      <c r="R188" s="20" t="s">
        <v>1291</v>
      </c>
      <c r="W188" s="61"/>
      <c r="Y188" s="55"/>
    </row>
    <row r="189" spans="1:25" x14ac:dyDescent="0.35">
      <c r="A189" t="s">
        <v>620</v>
      </c>
      <c r="B189" s="66" t="s">
        <v>1219</v>
      </c>
      <c r="C189" s="67" t="s">
        <v>1133</v>
      </c>
      <c r="D189" s="68" t="s">
        <v>1204</v>
      </c>
      <c r="E189" s="60">
        <v>2580</v>
      </c>
      <c r="F189" s="60">
        <v>33757.97</v>
      </c>
      <c r="G189" s="34">
        <f>IFERROR((F189/E189),0)</f>
        <v>13.084484496124032</v>
      </c>
      <c r="H189" s="1">
        <v>3688</v>
      </c>
      <c r="I189" s="1">
        <v>43177</v>
      </c>
      <c r="J189" s="64">
        <f>IFERROR((I189/H189),0)</f>
        <v>11.707429501084599</v>
      </c>
      <c r="K189" s="90">
        <f>I189-F189</f>
        <v>9419.0299999999988</v>
      </c>
      <c r="L189" s="90">
        <f>(H189-E189)/1000</f>
        <v>1.1080000000000001</v>
      </c>
      <c r="M189" s="55" t="s">
        <v>1061</v>
      </c>
      <c r="O189" s="19">
        <f>K189/F189</f>
        <v>0.27901648114504513</v>
      </c>
      <c r="P189" s="19">
        <f>L189/(E189/1000)</f>
        <v>0.42945736434108528</v>
      </c>
      <c r="R189" s="20" t="s">
        <v>1299</v>
      </c>
      <c r="W189" s="61"/>
      <c r="Y189" s="55"/>
    </row>
    <row r="190" spans="1:25" x14ac:dyDescent="0.35">
      <c r="A190" t="s">
        <v>1442</v>
      </c>
      <c r="B190" s="66" t="s">
        <v>1061</v>
      </c>
      <c r="C190" s="67" t="s">
        <v>1004</v>
      </c>
      <c r="D190" s="68" t="s">
        <v>37</v>
      </c>
      <c r="E190" s="59">
        <v>1442</v>
      </c>
      <c r="F190" s="59">
        <v>74436.399999999994</v>
      </c>
      <c r="G190" s="34">
        <f>IFERROR((F190/E190),0)</f>
        <v>51.620249653259357</v>
      </c>
      <c r="H190" s="1">
        <v>5700</v>
      </c>
      <c r="I190" s="1">
        <v>82069</v>
      </c>
      <c r="J190" s="64">
        <f>IFERROR((I190/H190),0)</f>
        <v>14.398070175438596</v>
      </c>
      <c r="K190" s="90">
        <f>I190-F190</f>
        <v>7632.6000000000058</v>
      </c>
      <c r="L190" s="90">
        <f>(H190-E190)/1000</f>
        <v>4.258</v>
      </c>
      <c r="M190" s="55" t="s">
        <v>1061</v>
      </c>
      <c r="O190" s="19">
        <f>K190/F190</f>
        <v>0.10253854297091217</v>
      </c>
      <c r="P190" s="19">
        <f>L190/(E190/1000)</f>
        <v>2.9528432732316228</v>
      </c>
      <c r="R190" s="20" t="s">
        <v>1060</v>
      </c>
      <c r="T190">
        <v>0</v>
      </c>
      <c r="U190">
        <v>0</v>
      </c>
      <c r="V190" s="18">
        <f>IFERROR((U190/T190),0)</f>
        <v>0</v>
      </c>
      <c r="W190" s="4">
        <f>F190-U190</f>
        <v>74436.399999999994</v>
      </c>
      <c r="X190" s="19">
        <f>W190/F190</f>
        <v>1</v>
      </c>
      <c r="Y190" s="37"/>
    </row>
    <row r="191" spans="1:25" x14ac:dyDescent="0.35">
      <c r="A191" t="s">
        <v>621</v>
      </c>
      <c r="B191" s="66" t="s">
        <v>1595</v>
      </c>
      <c r="C191" s="67" t="s">
        <v>1511</v>
      </c>
      <c r="D191" s="68" t="s">
        <v>1562</v>
      </c>
      <c r="E191" s="60">
        <v>6552</v>
      </c>
      <c r="F191" s="60">
        <v>80710.48</v>
      </c>
      <c r="G191" s="34">
        <f>IFERROR((F191/E191),0)</f>
        <v>12.318449328449327</v>
      </c>
      <c r="H191" s="1">
        <v>6499</v>
      </c>
      <c r="I191" s="1">
        <v>87774</v>
      </c>
      <c r="J191" s="64">
        <f>IFERROR((I191/H191),0)</f>
        <v>13.505770118479766</v>
      </c>
      <c r="K191" s="90">
        <f>I191-F191</f>
        <v>7063.5200000000041</v>
      </c>
      <c r="L191" s="90">
        <f>(H191-E191)/1000</f>
        <v>-5.2999999999999999E-2</v>
      </c>
      <c r="M191" s="55" t="s">
        <v>1061</v>
      </c>
      <c r="O191" s="19">
        <f>K191/F191</f>
        <v>8.7516763622270663E-2</v>
      </c>
      <c r="P191" s="19">
        <f>L191/(E191/1000)</f>
        <v>-8.0891330891330899E-3</v>
      </c>
      <c r="R191" s="20" t="s">
        <v>1062</v>
      </c>
      <c r="T191">
        <v>9933</v>
      </c>
      <c r="U191">
        <v>283122</v>
      </c>
      <c r="V191" s="18">
        <f>IFERROR((U191/T191),0)</f>
        <v>28.503171247357294</v>
      </c>
      <c r="W191" s="4">
        <f>F191-U191</f>
        <v>-202411.52000000002</v>
      </c>
      <c r="X191" s="19">
        <f>W191/F191</f>
        <v>-2.5078715923880024</v>
      </c>
      <c r="Y191" s="37"/>
    </row>
    <row r="192" spans="1:25" x14ac:dyDescent="0.35">
      <c r="A192" t="s">
        <v>698</v>
      </c>
      <c r="B192" s="66" t="s">
        <v>1595</v>
      </c>
      <c r="C192" s="67" t="s">
        <v>1499</v>
      </c>
      <c r="D192" s="68" t="s">
        <v>1550</v>
      </c>
      <c r="E192" s="60">
        <v>1304</v>
      </c>
      <c r="F192" s="60">
        <v>20210.939999999999</v>
      </c>
      <c r="G192" s="34">
        <f>IFERROR((F192/E192),0)</f>
        <v>15.499187116564416</v>
      </c>
      <c r="H192" s="1">
        <v>1298</v>
      </c>
      <c r="I192" s="1">
        <v>27053</v>
      </c>
      <c r="J192" s="64">
        <f>IFERROR((I192/H192),0)</f>
        <v>20.842064714946069</v>
      </c>
      <c r="K192" s="90">
        <f>I192-F192</f>
        <v>6842.0600000000013</v>
      </c>
      <c r="L192" s="90">
        <f>(H192-E192)/1000</f>
        <v>-6.0000000000000001E-3</v>
      </c>
      <c r="M192" s="55" t="s">
        <v>1061</v>
      </c>
      <c r="O192" s="19">
        <f>K192/F192</f>
        <v>0.3385324977462702</v>
      </c>
      <c r="P192" s="19">
        <f>L192/(E192/1000)</f>
        <v>-4.601226993865031E-3</v>
      </c>
      <c r="R192" s="20" t="s">
        <v>1294</v>
      </c>
      <c r="T192">
        <v>0</v>
      </c>
      <c r="U192">
        <v>0</v>
      </c>
      <c r="V192" s="18">
        <f>IFERROR((U192/T192),0)</f>
        <v>0</v>
      </c>
      <c r="W192" s="4">
        <f>F192-U192</f>
        <v>20210.939999999999</v>
      </c>
      <c r="X192" s="19">
        <f>W192/F192</f>
        <v>1</v>
      </c>
      <c r="Y192" s="37"/>
    </row>
    <row r="193" spans="1:25" x14ac:dyDescent="0.35">
      <c r="A193" t="s">
        <v>1113</v>
      </c>
      <c r="B193" s="66" t="s">
        <v>1219</v>
      </c>
      <c r="C193" s="67" t="s">
        <v>1144</v>
      </c>
      <c r="D193" s="68" t="s">
        <v>1195</v>
      </c>
      <c r="E193" s="60">
        <v>215</v>
      </c>
      <c r="F193" s="60">
        <v>12478.14</v>
      </c>
      <c r="G193" s="34">
        <f>IFERROR((F193/E193),0)</f>
        <v>58.037860465116275</v>
      </c>
      <c r="H193" s="1">
        <v>1038</v>
      </c>
      <c r="I193" s="1">
        <v>19144</v>
      </c>
      <c r="J193" s="64">
        <f>IFERROR((I193/H193),0)</f>
        <v>18.443159922928707</v>
      </c>
      <c r="K193" s="90">
        <f>I193-F193</f>
        <v>6665.8600000000006</v>
      </c>
      <c r="L193" s="90">
        <f>(H193-E193)/1000</f>
        <v>0.82299999999999995</v>
      </c>
      <c r="M193" s="55" t="s">
        <v>1061</v>
      </c>
      <c r="O193" s="19">
        <f>K193/F193</f>
        <v>0.5342030142312878</v>
      </c>
      <c r="P193" s="19">
        <f>L193/(E193/1000)</f>
        <v>3.827906976744186</v>
      </c>
      <c r="R193" s="20" t="s">
        <v>1318</v>
      </c>
      <c r="T193">
        <v>9892</v>
      </c>
      <c r="U193">
        <v>101958</v>
      </c>
      <c r="V193" s="18">
        <f>IFERROR((U193/T193),0)</f>
        <v>10.307116862110796</v>
      </c>
      <c r="W193" s="4">
        <f>F193-U193</f>
        <v>-89479.86</v>
      </c>
      <c r="X193" s="19">
        <f>W193/F193</f>
        <v>-7.1709293211969092</v>
      </c>
      <c r="Y193" s="37" t="s">
        <v>1066</v>
      </c>
    </row>
    <row r="194" spans="1:25" x14ac:dyDescent="0.35">
      <c r="A194" t="s">
        <v>646</v>
      </c>
      <c r="B194" s="66" t="s">
        <v>1721</v>
      </c>
      <c r="C194" s="67" t="s">
        <v>1695</v>
      </c>
      <c r="D194" s="68" t="s">
        <v>1696</v>
      </c>
      <c r="E194" s="59">
        <v>0</v>
      </c>
      <c r="F194" s="59">
        <v>0</v>
      </c>
      <c r="G194" s="34">
        <f>IFERROR((F194/E194),0)</f>
        <v>0</v>
      </c>
      <c r="H194" s="1">
        <v>710</v>
      </c>
      <c r="I194" s="1">
        <v>6648</v>
      </c>
      <c r="J194" s="64">
        <f>IFERROR((I194/H194),0)</f>
        <v>9.3633802816901408</v>
      </c>
      <c r="K194" s="90">
        <f>I194-F194</f>
        <v>6648</v>
      </c>
      <c r="L194" s="90">
        <f>(H194-E194)/1000</f>
        <v>0.71</v>
      </c>
      <c r="M194" s="55" t="s">
        <v>1061</v>
      </c>
      <c r="O194" s="19" t="e">
        <f>K194/F194</f>
        <v>#DIV/0!</v>
      </c>
      <c r="P194" s="19" t="e">
        <f>L194/(E194/1000)</f>
        <v>#DIV/0!</v>
      </c>
      <c r="R194" s="20" t="s">
        <v>1604</v>
      </c>
      <c r="W194" s="61"/>
      <c r="Y194" s="55"/>
    </row>
    <row r="195" spans="1:25" x14ac:dyDescent="0.35">
      <c r="A195" t="s">
        <v>761</v>
      </c>
      <c r="B195" s="66" t="s">
        <v>1219</v>
      </c>
      <c r="C195" s="67" t="s">
        <v>1126</v>
      </c>
      <c r="D195" s="68" t="s">
        <v>1177</v>
      </c>
      <c r="E195" s="60">
        <v>17459</v>
      </c>
      <c r="F195" s="60">
        <v>296449.8</v>
      </c>
      <c r="G195" s="34">
        <f>IFERROR((F195/E195),0)</f>
        <v>16.979769746262672</v>
      </c>
      <c r="H195" s="1">
        <v>18738</v>
      </c>
      <c r="I195" s="1">
        <v>302987</v>
      </c>
      <c r="J195" s="64">
        <f>IFERROR((I195/H195),0)</f>
        <v>16.169655246024121</v>
      </c>
      <c r="K195" s="90">
        <f>I195-F195</f>
        <v>6537.2000000000116</v>
      </c>
      <c r="L195" s="90">
        <f>(H195-E195)/1000</f>
        <v>1.2789999999999999</v>
      </c>
      <c r="M195" s="55" t="s">
        <v>1061</v>
      </c>
      <c r="O195" s="19">
        <f>K195/F195</f>
        <v>2.2051625604065213E-2</v>
      </c>
      <c r="P195" s="19">
        <f>L195/(E195/1000)</f>
        <v>7.325734578154533E-2</v>
      </c>
      <c r="R195" s="20" t="s">
        <v>1281</v>
      </c>
      <c r="W195" s="61"/>
      <c r="Y195" s="55"/>
    </row>
    <row r="196" spans="1:25" x14ac:dyDescent="0.35">
      <c r="A196" t="s">
        <v>1134</v>
      </c>
      <c r="B196" s="66" t="s">
        <v>1721</v>
      </c>
      <c r="C196" s="67" t="s">
        <v>1697</v>
      </c>
      <c r="D196" s="68" t="s">
        <v>1698</v>
      </c>
      <c r="E196" s="59">
        <v>0</v>
      </c>
      <c r="F196" s="59">
        <v>0</v>
      </c>
      <c r="G196" s="34">
        <f>IFERROR((F196/E196),0)</f>
        <v>0</v>
      </c>
      <c r="H196" s="1">
        <v>596</v>
      </c>
      <c r="I196" s="1">
        <v>6033</v>
      </c>
      <c r="J196" s="64">
        <f>IFERROR((I196/H196),0)</f>
        <v>10.122483221476511</v>
      </c>
      <c r="K196" s="90">
        <f>I196-F196</f>
        <v>6033</v>
      </c>
      <c r="L196" s="90">
        <f>(H196-E196)/1000</f>
        <v>0.59599999999999997</v>
      </c>
      <c r="M196" s="55" t="s">
        <v>1061</v>
      </c>
      <c r="O196" s="19" t="e">
        <f>K196/F196</f>
        <v>#DIV/0!</v>
      </c>
      <c r="P196" s="19" t="e">
        <f>L196/(E196/1000)</f>
        <v>#DIV/0!</v>
      </c>
      <c r="R196" s="20" t="s">
        <v>1310</v>
      </c>
      <c r="T196">
        <v>5304</v>
      </c>
      <c r="U196">
        <v>72669</v>
      </c>
      <c r="V196" s="18">
        <f>IFERROR((U196/T196),0)</f>
        <v>13.700791855203621</v>
      </c>
      <c r="W196" s="4">
        <f>F196-U196</f>
        <v>-72669</v>
      </c>
      <c r="X196" s="19" t="e">
        <f>W196/F196</f>
        <v>#DIV/0!</v>
      </c>
      <c r="Y196" s="37"/>
    </row>
    <row r="197" spans="1:25" x14ac:dyDescent="0.35">
      <c r="A197" t="s">
        <v>1443</v>
      </c>
      <c r="B197" s="66" t="s">
        <v>1721</v>
      </c>
      <c r="C197" s="67" t="s">
        <v>1699</v>
      </c>
      <c r="D197" s="68" t="s">
        <v>1700</v>
      </c>
      <c r="E197" s="59">
        <v>0</v>
      </c>
      <c r="F197" s="59">
        <v>0</v>
      </c>
      <c r="G197" s="34">
        <f>IFERROR((F197/E197),0)</f>
        <v>0</v>
      </c>
      <c r="H197" s="1">
        <v>377</v>
      </c>
      <c r="I197" s="1">
        <v>5987</v>
      </c>
      <c r="J197" s="64">
        <f>IFERROR((I197/H197),0)</f>
        <v>15.880636604774535</v>
      </c>
      <c r="K197" s="90">
        <f>I197-F197</f>
        <v>5987</v>
      </c>
      <c r="L197" s="90">
        <f>(H197-E197)/1000</f>
        <v>0.377</v>
      </c>
      <c r="M197" s="55" t="s">
        <v>1061</v>
      </c>
      <c r="O197" s="19" t="e">
        <f>K197/F197</f>
        <v>#DIV/0!</v>
      </c>
      <c r="P197" s="19" t="e">
        <f>L197/(E197/1000)</f>
        <v>#DIV/0!</v>
      </c>
      <c r="R197" s="20" t="s">
        <v>1316</v>
      </c>
      <c r="W197" s="61"/>
      <c r="Y197" s="55"/>
    </row>
    <row r="198" spans="1:25" x14ac:dyDescent="0.35">
      <c r="A198" t="s">
        <v>730</v>
      </c>
      <c r="B198" s="66" t="s">
        <v>1721</v>
      </c>
      <c r="C198" s="67" t="s">
        <v>1701</v>
      </c>
      <c r="D198" s="68" t="s">
        <v>1702</v>
      </c>
      <c r="E198" s="59">
        <v>0</v>
      </c>
      <c r="F198" s="59">
        <v>0</v>
      </c>
      <c r="G198" s="34">
        <f>IFERROR((F198/E198),0)</f>
        <v>0</v>
      </c>
      <c r="H198" s="1">
        <v>581</v>
      </c>
      <c r="I198" s="1">
        <v>5771</v>
      </c>
      <c r="J198" s="64">
        <f>IFERROR((I198/H198),0)</f>
        <v>9.9328743545611022</v>
      </c>
      <c r="K198" s="90">
        <f>I198-F198</f>
        <v>5771</v>
      </c>
      <c r="L198" s="90">
        <f>(H198-E198)/1000</f>
        <v>0.58099999999999996</v>
      </c>
      <c r="M198" s="55" t="s">
        <v>1061</v>
      </c>
      <c r="O198" s="19" t="e">
        <f>K198/F198</f>
        <v>#DIV/0!</v>
      </c>
      <c r="P198" s="19" t="e">
        <f>L198/(E198/1000)</f>
        <v>#DIV/0!</v>
      </c>
      <c r="R198" s="20" t="s">
        <v>1604</v>
      </c>
      <c r="T198">
        <v>0</v>
      </c>
      <c r="U198">
        <v>0</v>
      </c>
      <c r="V198" s="18">
        <f>IFERROR((U198/T198),0)</f>
        <v>0</v>
      </c>
      <c r="W198" s="4">
        <f>F198-U198</f>
        <v>0</v>
      </c>
      <c r="X198" s="19" t="e">
        <f>W198/F198</f>
        <v>#DIV/0!</v>
      </c>
      <c r="Y198" s="37"/>
    </row>
    <row r="199" spans="1:25" x14ac:dyDescent="0.35">
      <c r="A199" t="s">
        <v>922</v>
      </c>
      <c r="B199" s="66" t="s">
        <v>1721</v>
      </c>
      <c r="C199" s="67" t="s">
        <v>1703</v>
      </c>
      <c r="D199" s="68" t="s">
        <v>1704</v>
      </c>
      <c r="E199" s="59">
        <v>0</v>
      </c>
      <c r="F199" s="59">
        <v>0</v>
      </c>
      <c r="G199" s="34">
        <f>IFERROR((F199/E199),0)</f>
        <v>0</v>
      </c>
      <c r="H199" s="1">
        <v>188</v>
      </c>
      <c r="I199" s="1">
        <v>5561</v>
      </c>
      <c r="J199" s="64">
        <f>IFERROR((I199/H199),0)</f>
        <v>29.579787234042552</v>
      </c>
      <c r="K199" s="90">
        <f>I199-F199</f>
        <v>5561</v>
      </c>
      <c r="L199" s="90">
        <f>(H199-E199)/1000</f>
        <v>0.188</v>
      </c>
      <c r="M199" s="55" t="s">
        <v>1061</v>
      </c>
      <c r="O199" s="19" t="e">
        <f>K199/F199</f>
        <v>#DIV/0!</v>
      </c>
      <c r="P199" s="19" t="e">
        <f>L199/(E199/1000)</f>
        <v>#DIV/0!</v>
      </c>
      <c r="R199" s="20" t="s">
        <v>1310</v>
      </c>
      <c r="W199" s="61"/>
      <c r="Y199" s="55"/>
    </row>
    <row r="200" spans="1:25" x14ac:dyDescent="0.35">
      <c r="A200" t="s">
        <v>1143</v>
      </c>
      <c r="B200" s="66" t="s">
        <v>976</v>
      </c>
      <c r="C200" s="67" t="s">
        <v>924</v>
      </c>
      <c r="D200" s="68" t="s">
        <v>925</v>
      </c>
      <c r="E200" s="60">
        <v>0</v>
      </c>
      <c r="F200" s="60">
        <v>0</v>
      </c>
      <c r="G200" s="34">
        <f>IFERROR((F200/E200),0)</f>
        <v>0</v>
      </c>
      <c r="H200" s="1">
        <v>367</v>
      </c>
      <c r="I200" s="1">
        <v>5458</v>
      </c>
      <c r="J200" s="64">
        <f>IFERROR((I200/H200),0)</f>
        <v>14.871934604904633</v>
      </c>
      <c r="K200" s="90">
        <f>I200-F200</f>
        <v>5458</v>
      </c>
      <c r="L200" s="90">
        <f>(H200-E200)/1000</f>
        <v>0.36699999999999999</v>
      </c>
      <c r="M200" s="55" t="s">
        <v>1061</v>
      </c>
      <c r="O200" s="19" t="e">
        <f>K200/F200</f>
        <v>#DIV/0!</v>
      </c>
      <c r="P200" s="19" t="e">
        <f>L200/(E200/1000)</f>
        <v>#DIV/0!</v>
      </c>
      <c r="R200" s="20" t="s">
        <v>1293</v>
      </c>
      <c r="W200" s="61"/>
      <c r="Y200" s="55"/>
    </row>
    <row r="201" spans="1:25" x14ac:dyDescent="0.35">
      <c r="A201" t="s">
        <v>1444</v>
      </c>
      <c r="B201" s="66" t="s">
        <v>834</v>
      </c>
      <c r="C201" s="67" t="s">
        <v>535</v>
      </c>
      <c r="D201" s="68" t="s">
        <v>168</v>
      </c>
      <c r="E201" s="60">
        <v>500</v>
      </c>
      <c r="F201" s="60">
        <v>5285</v>
      </c>
      <c r="G201" s="34">
        <f>IFERROR((F201/E201),0)</f>
        <v>10.57</v>
      </c>
      <c r="H201" s="1">
        <v>1000</v>
      </c>
      <c r="I201" s="1">
        <v>10570</v>
      </c>
      <c r="J201" s="64">
        <f>IFERROR((I201/H201),0)</f>
        <v>10.57</v>
      </c>
      <c r="K201" s="90">
        <f>I201-F201</f>
        <v>5285</v>
      </c>
      <c r="L201" s="90">
        <f>(H201-E201)/1000</f>
        <v>0.5</v>
      </c>
      <c r="M201" s="55" t="s">
        <v>1061</v>
      </c>
      <c r="O201" s="19">
        <f>K201/F201</f>
        <v>1</v>
      </c>
      <c r="P201" s="19">
        <f>L201/(E201/1000)</f>
        <v>1</v>
      </c>
      <c r="R201" s="20" t="s">
        <v>1601</v>
      </c>
      <c r="T201">
        <v>0</v>
      </c>
      <c r="U201">
        <v>0</v>
      </c>
      <c r="V201" s="18">
        <f>IFERROR((U201/T201),0)</f>
        <v>0</v>
      </c>
      <c r="W201" s="4">
        <f>F201-U201</f>
        <v>5285</v>
      </c>
      <c r="X201" s="19">
        <f>W201/F201</f>
        <v>1</v>
      </c>
      <c r="Y201" s="37"/>
    </row>
    <row r="202" spans="1:25" x14ac:dyDescent="0.35">
      <c r="A202" t="s">
        <v>1446</v>
      </c>
      <c r="B202" s="66" t="s">
        <v>1721</v>
      </c>
      <c r="C202" s="67" t="s">
        <v>1705</v>
      </c>
      <c r="D202" s="68" t="s">
        <v>1706</v>
      </c>
      <c r="E202" s="59">
        <v>0</v>
      </c>
      <c r="F202" s="59">
        <v>0</v>
      </c>
      <c r="G202" s="34">
        <f>IFERROR((F202/E202),0)</f>
        <v>0</v>
      </c>
      <c r="H202" s="1">
        <v>126</v>
      </c>
      <c r="I202" s="1">
        <v>5017</v>
      </c>
      <c r="J202" s="64">
        <f>IFERROR((I202/H202),0)</f>
        <v>39.817460317460316</v>
      </c>
      <c r="K202" s="90">
        <f>I202-F202</f>
        <v>5017</v>
      </c>
      <c r="L202" s="90">
        <f>(H202-E202)/1000</f>
        <v>0.126</v>
      </c>
      <c r="M202" s="55" t="s">
        <v>1061</v>
      </c>
      <c r="O202" s="19" t="e">
        <f>K202/F202</f>
        <v>#DIV/0!</v>
      </c>
      <c r="P202" s="19" t="e">
        <f>L202/(E202/1000)</f>
        <v>#DIV/0!</v>
      </c>
      <c r="R202" s="20" t="s">
        <v>1312</v>
      </c>
      <c r="T202">
        <v>0</v>
      </c>
      <c r="U202">
        <v>0</v>
      </c>
      <c r="V202" s="18">
        <f>IFERROR((U202/T202),0)</f>
        <v>0</v>
      </c>
      <c r="W202" s="4">
        <f>F202-U202</f>
        <v>0</v>
      </c>
      <c r="X202" s="19" t="e">
        <f>W202/F202</f>
        <v>#DIV/0!</v>
      </c>
      <c r="Y202" s="37"/>
    </row>
    <row r="203" spans="1:25" x14ac:dyDescent="0.35">
      <c r="A203" t="s">
        <v>924</v>
      </c>
      <c r="B203" s="66" t="s">
        <v>815</v>
      </c>
      <c r="C203" s="67" t="s">
        <v>681</v>
      </c>
      <c r="D203" s="68" t="s">
        <v>116</v>
      </c>
      <c r="E203" s="60">
        <v>155</v>
      </c>
      <c r="F203" s="60">
        <v>14618</v>
      </c>
      <c r="G203" s="34">
        <f>IFERROR((F203/E203),0)</f>
        <v>94.309677419354841</v>
      </c>
      <c r="H203" s="1">
        <v>229</v>
      </c>
      <c r="I203" s="1">
        <v>18510</v>
      </c>
      <c r="J203" s="64">
        <f>IFERROR((I203/H203),0)</f>
        <v>80.829694323144111</v>
      </c>
      <c r="K203" s="90">
        <f>I203-F203</f>
        <v>3892</v>
      </c>
      <c r="L203" s="90">
        <f>(H203-E203)/1000</f>
        <v>7.3999999999999996E-2</v>
      </c>
      <c r="M203" s="55" t="s">
        <v>1061</v>
      </c>
      <c r="O203" s="19">
        <f>K203/F203</f>
        <v>0.26624709262553015</v>
      </c>
      <c r="P203" s="19">
        <f>L203/(E203/1000)</f>
        <v>0.47741935483870968</v>
      </c>
      <c r="R203" s="20" t="s">
        <v>1601</v>
      </c>
      <c r="W203" s="61"/>
      <c r="Y203" s="55"/>
    </row>
    <row r="204" spans="1:25" x14ac:dyDescent="0.35">
      <c r="A204" t="s">
        <v>1447</v>
      </c>
      <c r="B204" s="66" t="s">
        <v>819</v>
      </c>
      <c r="C204" s="67" t="s">
        <v>660</v>
      </c>
      <c r="D204" s="68" t="s">
        <v>63</v>
      </c>
      <c r="E204" s="60">
        <v>0</v>
      </c>
      <c r="F204" s="60">
        <v>0</v>
      </c>
      <c r="G204" s="34">
        <f>IFERROR((F204/E204),0)</f>
        <v>0</v>
      </c>
      <c r="H204" s="1">
        <v>287</v>
      </c>
      <c r="I204" s="1">
        <v>3832</v>
      </c>
      <c r="J204" s="64">
        <f>IFERROR((I204/H204),0)</f>
        <v>13.351916376306621</v>
      </c>
      <c r="K204" s="90">
        <f>I204-F204</f>
        <v>3832</v>
      </c>
      <c r="L204" s="90">
        <f>(H204-E204)/1000</f>
        <v>0.28699999999999998</v>
      </c>
      <c r="M204" s="55" t="s">
        <v>1061</v>
      </c>
      <c r="O204" s="19" t="e">
        <f>K204/F204</f>
        <v>#DIV/0!</v>
      </c>
      <c r="P204" s="19" t="e">
        <f>L204/(E204/1000)</f>
        <v>#DIV/0!</v>
      </c>
      <c r="R204" s="20" t="s">
        <v>1293</v>
      </c>
      <c r="W204" s="61"/>
      <c r="Y204" s="55"/>
    </row>
    <row r="205" spans="1:25" x14ac:dyDescent="0.35">
      <c r="A205" t="s">
        <v>926</v>
      </c>
      <c r="B205" s="66" t="s">
        <v>1061</v>
      </c>
      <c r="C205" s="67" t="s">
        <v>1519</v>
      </c>
      <c r="D205" s="68" t="s">
        <v>1570</v>
      </c>
      <c r="E205" s="60">
        <v>300</v>
      </c>
      <c r="F205" s="60">
        <v>5110.1019999999999</v>
      </c>
      <c r="G205" s="34">
        <f>IFERROR((F205/E205),0)</f>
        <v>17.033673333333333</v>
      </c>
      <c r="H205" s="1">
        <v>549</v>
      </c>
      <c r="I205" s="1">
        <v>8774</v>
      </c>
      <c r="J205" s="64">
        <f>IFERROR((I205/H205),0)</f>
        <v>15.981785063752277</v>
      </c>
      <c r="K205" s="90">
        <f>I205-F205</f>
        <v>3663.8980000000001</v>
      </c>
      <c r="L205" s="90">
        <f>(H205-E205)/1000</f>
        <v>0.249</v>
      </c>
      <c r="M205" s="55" t="s">
        <v>1061</v>
      </c>
      <c r="O205" s="19">
        <f>K205/F205</f>
        <v>0.71699116769097759</v>
      </c>
      <c r="P205" s="19">
        <f>L205/(E205/1000)</f>
        <v>0.83000000000000007</v>
      </c>
      <c r="R205" s="20" t="s">
        <v>1312</v>
      </c>
      <c r="W205" s="61"/>
      <c r="Y205" s="55"/>
    </row>
    <row r="206" spans="1:25" x14ac:dyDescent="0.35">
      <c r="A206" t="s">
        <v>466</v>
      </c>
      <c r="B206" s="66" t="s">
        <v>837</v>
      </c>
      <c r="C206" s="67" t="s">
        <v>747</v>
      </c>
      <c r="D206" s="68" t="s">
        <v>348</v>
      </c>
      <c r="E206" s="59">
        <v>86</v>
      </c>
      <c r="F206" s="59">
        <v>3109.44</v>
      </c>
      <c r="G206" s="34">
        <f>IFERROR((F206/E206),0)</f>
        <v>36.156279069767443</v>
      </c>
      <c r="H206" s="1">
        <v>473</v>
      </c>
      <c r="I206" s="1">
        <v>6415</v>
      </c>
      <c r="J206" s="64">
        <f>IFERROR((I206/H206),0)</f>
        <v>13.562367864693446</v>
      </c>
      <c r="K206" s="90">
        <f>I206-F206</f>
        <v>3305.56</v>
      </c>
      <c r="L206" s="90">
        <f>(H206-E206)/1000</f>
        <v>0.38700000000000001</v>
      </c>
      <c r="M206" s="55" t="s">
        <v>1061</v>
      </c>
      <c r="O206" s="19">
        <f>K206/F206</f>
        <v>1.0630724503447566</v>
      </c>
      <c r="P206" s="19">
        <f>L206/(E206/1000)</f>
        <v>4.5000000000000009</v>
      </c>
      <c r="R206" s="20" t="s">
        <v>1299</v>
      </c>
      <c r="T206">
        <v>0</v>
      </c>
      <c r="U206">
        <v>0</v>
      </c>
      <c r="V206" s="18">
        <f t="shared" ref="V206:V212" si="24">IFERROR((U206/T206),0)</f>
        <v>0</v>
      </c>
      <c r="W206" s="4">
        <f t="shared" ref="W206:W212" si="25">F206-U206</f>
        <v>3109.44</v>
      </c>
      <c r="X206" s="19">
        <f t="shared" ref="X206:X212" si="26">W206/F206</f>
        <v>1</v>
      </c>
      <c r="Y206" s="37"/>
    </row>
    <row r="207" spans="1:25" x14ac:dyDescent="0.35">
      <c r="A207" t="s">
        <v>642</v>
      </c>
      <c r="B207" s="66" t="s">
        <v>1721</v>
      </c>
      <c r="C207" s="67" t="s">
        <v>1707</v>
      </c>
      <c r="D207" s="68" t="s">
        <v>1708</v>
      </c>
      <c r="E207" s="59">
        <v>0</v>
      </c>
      <c r="F207" s="59">
        <v>0</v>
      </c>
      <c r="G207" s="34">
        <f>IFERROR((F207/E207),0)</f>
        <v>0</v>
      </c>
      <c r="H207" s="1">
        <v>268</v>
      </c>
      <c r="I207" s="1">
        <v>3060</v>
      </c>
      <c r="J207" s="64">
        <f>IFERROR((I207/H207),0)</f>
        <v>11.417910447761194</v>
      </c>
      <c r="K207" s="90">
        <f>I207-F207</f>
        <v>3060</v>
      </c>
      <c r="L207" s="90">
        <f>(H207-E207)/1000</f>
        <v>0.26800000000000002</v>
      </c>
      <c r="M207" s="55" t="s">
        <v>1061</v>
      </c>
      <c r="O207" s="19" t="e">
        <f>K207/F207</f>
        <v>#DIV/0!</v>
      </c>
      <c r="P207" s="19" t="e">
        <f>L207/(E207/1000)</f>
        <v>#DIV/0!</v>
      </c>
      <c r="R207" s="20" t="s">
        <v>1310</v>
      </c>
      <c r="T207">
        <v>0</v>
      </c>
      <c r="U207">
        <v>0</v>
      </c>
      <c r="V207" s="18">
        <f t="shared" si="24"/>
        <v>0</v>
      </c>
      <c r="W207" s="4">
        <f t="shared" si="25"/>
        <v>0</v>
      </c>
      <c r="X207" s="19" t="e">
        <f t="shared" si="26"/>
        <v>#DIV/0!</v>
      </c>
      <c r="Y207" s="37"/>
    </row>
    <row r="208" spans="1:25" x14ac:dyDescent="0.35">
      <c r="A208" t="s">
        <v>673</v>
      </c>
      <c r="B208" s="85" t="s">
        <v>1734</v>
      </c>
      <c r="C208" s="67" t="s">
        <v>448</v>
      </c>
      <c r="D208" s="68" t="s">
        <v>226</v>
      </c>
      <c r="E208" s="59">
        <v>0</v>
      </c>
      <c r="F208" s="59">
        <v>0</v>
      </c>
      <c r="G208" s="56">
        <f>IFERROR((F208/E208),0)</f>
        <v>0</v>
      </c>
      <c r="H208" s="1">
        <v>224</v>
      </c>
      <c r="I208" s="1">
        <v>2790</v>
      </c>
      <c r="J208" s="64">
        <f>IFERROR((I208/H208),0)</f>
        <v>12.455357142857142</v>
      </c>
      <c r="K208" s="90">
        <f>I208-F208</f>
        <v>2790</v>
      </c>
      <c r="L208" s="90">
        <f>(H208-E208)/1000</f>
        <v>0.224</v>
      </c>
      <c r="M208" s="55" t="s">
        <v>1061</v>
      </c>
      <c r="O208" s="19" t="e">
        <f>K208/F208</f>
        <v>#DIV/0!</v>
      </c>
      <c r="P208" s="19" t="e">
        <f>L208/(E208/1000)</f>
        <v>#DIV/0!</v>
      </c>
      <c r="R208" s="20" t="s">
        <v>1737</v>
      </c>
      <c r="T208">
        <v>24351</v>
      </c>
      <c r="U208">
        <v>320136</v>
      </c>
      <c r="V208" s="18">
        <f t="shared" si="24"/>
        <v>13.146729087101146</v>
      </c>
      <c r="W208" s="4">
        <f t="shared" si="25"/>
        <v>-320136</v>
      </c>
      <c r="X208" s="19" t="e">
        <f t="shared" si="26"/>
        <v>#DIV/0!</v>
      </c>
      <c r="Y208" s="37"/>
    </row>
    <row r="209" spans="1:25" x14ac:dyDescent="0.35">
      <c r="A209" t="s">
        <v>1448</v>
      </c>
      <c r="B209" s="66" t="s">
        <v>821</v>
      </c>
      <c r="C209" s="67" t="s">
        <v>631</v>
      </c>
      <c r="D209" s="68" t="s">
        <v>70</v>
      </c>
      <c r="E209" s="60">
        <v>25493</v>
      </c>
      <c r="F209" s="60">
        <v>348914</v>
      </c>
      <c r="G209" s="34">
        <f>IFERROR((F209/E209),0)</f>
        <v>13.686659082885498</v>
      </c>
      <c r="H209" s="1">
        <v>24101</v>
      </c>
      <c r="I209" s="1">
        <v>351471</v>
      </c>
      <c r="J209" s="64">
        <f>IFERROR((I209/H209),0)</f>
        <v>14.58325380689598</v>
      </c>
      <c r="K209" s="90">
        <f>I209-F209</f>
        <v>2557</v>
      </c>
      <c r="L209" s="90">
        <f>(H209-E209)/1000</f>
        <v>-1.3919999999999999</v>
      </c>
      <c r="M209" s="55" t="s">
        <v>1061</v>
      </c>
      <c r="O209" s="19">
        <f>K209/F209</f>
        <v>7.3284534297849901E-3</v>
      </c>
      <c r="P209" s="19">
        <f>L209/(E209/1000)</f>
        <v>-5.4603224414545168E-2</v>
      </c>
      <c r="R209" s="20" t="s">
        <v>1298</v>
      </c>
      <c r="T209">
        <v>8162</v>
      </c>
      <c r="U209">
        <v>142105</v>
      </c>
      <c r="V209" s="18">
        <f t="shared" si="24"/>
        <v>17.410561136976231</v>
      </c>
      <c r="W209" s="4">
        <f t="shared" si="25"/>
        <v>206809</v>
      </c>
      <c r="X209" s="19">
        <f t="shared" si="26"/>
        <v>0.59272198879953231</v>
      </c>
      <c r="Y209" s="37"/>
    </row>
    <row r="210" spans="1:25" x14ac:dyDescent="0.35">
      <c r="A210" t="s">
        <v>622</v>
      </c>
      <c r="B210" s="66" t="s">
        <v>1721</v>
      </c>
      <c r="C210" s="67" t="s">
        <v>1709</v>
      </c>
      <c r="D210" s="68" t="s">
        <v>1710</v>
      </c>
      <c r="E210" s="59">
        <v>0</v>
      </c>
      <c r="F210" s="59">
        <v>0</v>
      </c>
      <c r="G210" s="34">
        <f>IFERROR((F210/E210),0)</f>
        <v>0</v>
      </c>
      <c r="H210" s="1">
        <v>222</v>
      </c>
      <c r="I210" s="1">
        <v>2268</v>
      </c>
      <c r="J210" s="64">
        <f>IFERROR((I210/H210),0)</f>
        <v>10.216216216216216</v>
      </c>
      <c r="K210" s="90">
        <f>I210-F210</f>
        <v>2268</v>
      </c>
      <c r="L210" s="90">
        <f>(H210-E210)/1000</f>
        <v>0.222</v>
      </c>
      <c r="M210" s="55" t="s">
        <v>1061</v>
      </c>
      <c r="O210" s="19" t="e">
        <f>K210/F210</f>
        <v>#DIV/0!</v>
      </c>
      <c r="P210" s="19" t="e">
        <f>L210/(E210/1000)</f>
        <v>#DIV/0!</v>
      </c>
      <c r="R210" s="20" t="s">
        <v>1283</v>
      </c>
      <c r="T210">
        <v>0</v>
      </c>
      <c r="U210">
        <v>0</v>
      </c>
      <c r="V210" s="18">
        <f t="shared" si="24"/>
        <v>0</v>
      </c>
      <c r="W210" s="4">
        <f t="shared" si="25"/>
        <v>0</v>
      </c>
      <c r="X210" s="19" t="e">
        <f t="shared" si="26"/>
        <v>#DIV/0!</v>
      </c>
      <c r="Y210" s="37"/>
    </row>
    <row r="211" spans="1:25" x14ac:dyDescent="0.35">
      <c r="A211" t="s">
        <v>928</v>
      </c>
      <c r="B211" s="66" t="s">
        <v>1721</v>
      </c>
      <c r="C211" s="67" t="s">
        <v>1711</v>
      </c>
      <c r="D211" s="68" t="s">
        <v>1712</v>
      </c>
      <c r="E211" s="59">
        <v>0</v>
      </c>
      <c r="F211" s="59">
        <v>0</v>
      </c>
      <c r="G211" s="34">
        <f>IFERROR((F211/E211),0)</f>
        <v>0</v>
      </c>
      <c r="H211" s="1">
        <v>275</v>
      </c>
      <c r="I211" s="1">
        <v>2221</v>
      </c>
      <c r="J211" s="64">
        <f>IFERROR((I211/H211),0)</f>
        <v>8.0763636363636362</v>
      </c>
      <c r="K211" s="90">
        <f>I211-F211</f>
        <v>2221</v>
      </c>
      <c r="L211" s="90">
        <f>(H211-E211)/1000</f>
        <v>0.27500000000000002</v>
      </c>
      <c r="M211" s="55" t="s">
        <v>1061</v>
      </c>
      <c r="O211" s="19" t="e">
        <f>K211/F211</f>
        <v>#DIV/0!</v>
      </c>
      <c r="P211" s="19" t="e">
        <f>L211/(E211/1000)</f>
        <v>#DIV/0!</v>
      </c>
      <c r="R211" s="20" t="s">
        <v>1288</v>
      </c>
      <c r="T211">
        <v>0</v>
      </c>
      <c r="U211">
        <v>0</v>
      </c>
      <c r="V211" s="18">
        <f t="shared" si="24"/>
        <v>0</v>
      </c>
      <c r="W211" s="4">
        <f t="shared" si="25"/>
        <v>0</v>
      </c>
      <c r="X211" s="19" t="e">
        <f t="shared" si="26"/>
        <v>#DIV/0!</v>
      </c>
      <c r="Y211" s="37"/>
    </row>
    <row r="212" spans="1:25" x14ac:dyDescent="0.35">
      <c r="A212" t="s">
        <v>1017</v>
      </c>
      <c r="B212" s="66" t="s">
        <v>1394</v>
      </c>
      <c r="C212" s="67" t="s">
        <v>1420</v>
      </c>
      <c r="D212" s="69" t="s">
        <v>1350</v>
      </c>
      <c r="E212" s="60">
        <v>811</v>
      </c>
      <c r="F212" s="60">
        <v>12367.1</v>
      </c>
      <c r="G212" s="34">
        <f>IFERROR((F212/E212),0)</f>
        <v>15.249198520345253</v>
      </c>
      <c r="H212" s="1">
        <v>866</v>
      </c>
      <c r="I212" s="1">
        <v>14400</v>
      </c>
      <c r="J212" s="64">
        <f>IFERROR((I212/H212),0)</f>
        <v>16.628175519630485</v>
      </c>
      <c r="K212" s="90">
        <f>I212-F212</f>
        <v>2032.8999999999996</v>
      </c>
      <c r="L212" s="90">
        <f>(H212-E212)/1000</f>
        <v>5.5E-2</v>
      </c>
      <c r="M212" s="55" t="s">
        <v>1061</v>
      </c>
      <c r="O212" s="19">
        <f>K212/F212</f>
        <v>0.16437968480888807</v>
      </c>
      <c r="P212" s="19">
        <f>L212/(E212/1000)</f>
        <v>6.7817509247842162E-2</v>
      </c>
      <c r="R212" s="20" t="s">
        <v>1289</v>
      </c>
      <c r="T212">
        <v>0</v>
      </c>
      <c r="U212">
        <v>0</v>
      </c>
      <c r="V212" s="18">
        <f t="shared" si="24"/>
        <v>0</v>
      </c>
      <c r="W212" s="4">
        <f t="shared" si="25"/>
        <v>12367.1</v>
      </c>
      <c r="X212" s="19">
        <f t="shared" si="26"/>
        <v>1</v>
      </c>
      <c r="Y212" s="37"/>
    </row>
    <row r="213" spans="1:25" x14ac:dyDescent="0.35">
      <c r="A213" t="s">
        <v>563</v>
      </c>
      <c r="B213" s="66" t="s">
        <v>839</v>
      </c>
      <c r="C213" s="67" t="s">
        <v>778</v>
      </c>
      <c r="D213" s="68" t="s">
        <v>380</v>
      </c>
      <c r="E213" s="60">
        <v>1110</v>
      </c>
      <c r="F213" s="60">
        <v>17575.099999999999</v>
      </c>
      <c r="G213" s="34">
        <f>IFERROR((F213/E213),0)</f>
        <v>15.833423423423422</v>
      </c>
      <c r="H213" s="1">
        <v>756</v>
      </c>
      <c r="I213" s="1">
        <v>19344</v>
      </c>
      <c r="J213" s="64">
        <f>IFERROR((I213/H213),0)</f>
        <v>25.587301587301589</v>
      </c>
      <c r="K213" s="90">
        <f>I213-F213</f>
        <v>1768.9000000000015</v>
      </c>
      <c r="L213" s="90">
        <f>(H213-E213)/1000</f>
        <v>-0.35399999999999998</v>
      </c>
      <c r="M213" s="55" t="s">
        <v>1061</v>
      </c>
      <c r="O213" s="19">
        <f>K213/F213</f>
        <v>0.10064807597111831</v>
      </c>
      <c r="P213" s="19">
        <f>L213/(E213/1000)</f>
        <v>-0.31891891891891888</v>
      </c>
      <c r="R213" s="20" t="s">
        <v>1312</v>
      </c>
      <c r="W213" s="61"/>
      <c r="Y213" s="55"/>
    </row>
    <row r="214" spans="1:25" x14ac:dyDescent="0.35">
      <c r="A214" t="s">
        <v>1061</v>
      </c>
      <c r="B214" s="66" t="s">
        <v>1061</v>
      </c>
      <c r="C214" s="67" t="s">
        <v>1149</v>
      </c>
      <c r="D214" s="68" t="s">
        <v>891</v>
      </c>
      <c r="E214" s="60">
        <v>0</v>
      </c>
      <c r="F214" s="60">
        <v>0</v>
      </c>
      <c r="G214" s="34">
        <f>IFERROR((F214/E214),0)</f>
        <v>0</v>
      </c>
      <c r="H214" s="1">
        <v>10</v>
      </c>
      <c r="I214" s="1">
        <v>1283</v>
      </c>
      <c r="J214" s="64">
        <f>IFERROR((I214/H214),0)</f>
        <v>128.30000000000001</v>
      </c>
      <c r="K214" s="90">
        <f>I214-F214</f>
        <v>1283</v>
      </c>
      <c r="L214" s="90">
        <f>(H214-E214)/1000</f>
        <v>0.01</v>
      </c>
      <c r="M214" s="55" t="s">
        <v>1061</v>
      </c>
      <c r="O214" s="19" t="e">
        <f>K214/F214</f>
        <v>#DIV/0!</v>
      </c>
      <c r="P214" s="19" t="e">
        <f>L214/(E214/1000)</f>
        <v>#DIV/0!</v>
      </c>
      <c r="R214" s="20" t="s">
        <v>1601</v>
      </c>
      <c r="T214">
        <v>0</v>
      </c>
      <c r="U214">
        <v>0</v>
      </c>
      <c r="V214" s="18">
        <f>IFERROR((U214/T214),0)</f>
        <v>0</v>
      </c>
      <c r="W214" s="4">
        <f>F214-U214</f>
        <v>0</v>
      </c>
      <c r="X214" s="19" t="e">
        <f>W214/F214</f>
        <v>#DIV/0!</v>
      </c>
      <c r="Y214" s="37"/>
    </row>
    <row r="215" spans="1:25" x14ac:dyDescent="0.35">
      <c r="A215" t="s">
        <v>1449</v>
      </c>
      <c r="B215" s="66" t="s">
        <v>1721</v>
      </c>
      <c r="C215" s="67" t="s">
        <v>1713</v>
      </c>
      <c r="D215" s="68" t="s">
        <v>1714</v>
      </c>
      <c r="E215" s="59">
        <v>0</v>
      </c>
      <c r="F215" s="59">
        <v>0</v>
      </c>
      <c r="G215" s="34">
        <f>IFERROR((F215/E215),0)</f>
        <v>0</v>
      </c>
      <c r="H215" s="1">
        <v>85</v>
      </c>
      <c r="I215" s="1">
        <v>1250</v>
      </c>
      <c r="J215" s="64">
        <f>IFERROR((I215/H215),0)</f>
        <v>14.705882352941176</v>
      </c>
      <c r="K215" s="90">
        <f>I215-F215</f>
        <v>1250</v>
      </c>
      <c r="L215" s="90">
        <f>(H215-E215)/1000</f>
        <v>8.5000000000000006E-2</v>
      </c>
      <c r="M215" s="55" t="s">
        <v>1061</v>
      </c>
      <c r="O215" s="19" t="e">
        <f>K215/F215</f>
        <v>#DIV/0!</v>
      </c>
      <c r="P215" s="19" t="e">
        <f>L215/(E215/1000)</f>
        <v>#DIV/0!</v>
      </c>
      <c r="R215" s="20" t="s">
        <v>1604</v>
      </c>
      <c r="T215">
        <v>46256</v>
      </c>
      <c r="U215">
        <v>594199</v>
      </c>
      <c r="V215" s="18">
        <f>IFERROR((U215/T215),0)</f>
        <v>12.845879453476305</v>
      </c>
      <c r="W215" s="4">
        <f>F215-U215</f>
        <v>-594199</v>
      </c>
      <c r="X215" s="19" t="e">
        <f>W215/F215</f>
        <v>#DIV/0!</v>
      </c>
      <c r="Y215" s="37" t="s">
        <v>1066</v>
      </c>
    </row>
    <row r="216" spans="1:25" x14ac:dyDescent="0.35">
      <c r="A216" t="s">
        <v>763</v>
      </c>
      <c r="B216" s="66" t="s">
        <v>1267</v>
      </c>
      <c r="C216" s="67" t="s">
        <v>1109</v>
      </c>
      <c r="D216" s="68" t="s">
        <v>1214</v>
      </c>
      <c r="E216" s="60">
        <v>250</v>
      </c>
      <c r="F216" s="60">
        <v>5061.7740000000003</v>
      </c>
      <c r="G216" s="34">
        <f>IFERROR((F216/E216),0)</f>
        <v>20.247096000000003</v>
      </c>
      <c r="H216" s="1">
        <v>245</v>
      </c>
      <c r="I216" s="1">
        <v>6182</v>
      </c>
      <c r="J216" s="64">
        <f>IFERROR((I216/H216),0)</f>
        <v>25.232653061224489</v>
      </c>
      <c r="K216" s="90">
        <f>I216-F216</f>
        <v>1120.2259999999997</v>
      </c>
      <c r="L216" s="90">
        <f>(H216-E216)/1000</f>
        <v>-5.0000000000000001E-3</v>
      </c>
      <c r="M216" s="55" t="s">
        <v>1061</v>
      </c>
      <c r="O216" s="19">
        <f>K216/F216</f>
        <v>0.22131094750575581</v>
      </c>
      <c r="P216" s="19">
        <f>L216/(E216/1000)</f>
        <v>-0.02</v>
      </c>
      <c r="R216" s="20" t="s">
        <v>1294</v>
      </c>
      <c r="T216">
        <v>4253</v>
      </c>
      <c r="U216">
        <v>48837</v>
      </c>
      <c r="V216" s="18">
        <f>IFERROR((U216/T216),0)</f>
        <v>11.482953209499177</v>
      </c>
      <c r="W216" s="4">
        <f>F216-U216</f>
        <v>-43775.226000000002</v>
      </c>
      <c r="X216" s="19">
        <f>W216/F216</f>
        <v>-8.6481984379389516</v>
      </c>
      <c r="Y216" s="37"/>
    </row>
    <row r="217" spans="1:25" x14ac:dyDescent="0.35">
      <c r="A217" t="s">
        <v>557</v>
      </c>
      <c r="B217" s="66" t="s">
        <v>1219</v>
      </c>
      <c r="C217" s="67" t="s">
        <v>1116</v>
      </c>
      <c r="D217" s="68" t="s">
        <v>1197</v>
      </c>
      <c r="E217" s="59">
        <v>5125</v>
      </c>
      <c r="F217" s="59">
        <v>57924.39</v>
      </c>
      <c r="G217" s="34">
        <f>IFERROR((F217/E217),0)</f>
        <v>11.30232</v>
      </c>
      <c r="H217" s="1">
        <v>5492</v>
      </c>
      <c r="I217" s="1">
        <v>58989</v>
      </c>
      <c r="J217" s="64">
        <f>IFERROR((I217/H217),0)</f>
        <v>10.74089584850692</v>
      </c>
      <c r="K217" s="90">
        <f>I217-F217</f>
        <v>1064.6100000000006</v>
      </c>
      <c r="L217" s="90">
        <f>(H217-E217)/1000</f>
        <v>0.36699999999999999</v>
      </c>
      <c r="M217" s="55" t="s">
        <v>1061</v>
      </c>
      <c r="O217" s="19">
        <f>K217/F217</f>
        <v>1.8379304469153677E-2</v>
      </c>
      <c r="P217" s="19">
        <f>L217/(E217/1000)</f>
        <v>7.160975609756097E-2</v>
      </c>
      <c r="R217" s="20" t="s">
        <v>1296</v>
      </c>
      <c r="W217" s="61"/>
      <c r="Y217" s="55"/>
    </row>
    <row r="218" spans="1:25" x14ac:dyDescent="0.35">
      <c r="A218" t="s">
        <v>764</v>
      </c>
      <c r="B218" s="66" t="s">
        <v>1721</v>
      </c>
      <c r="C218" s="67" t="s">
        <v>1715</v>
      </c>
      <c r="D218" s="68" t="s">
        <v>1716</v>
      </c>
      <c r="E218" s="59">
        <v>0</v>
      </c>
      <c r="F218" s="59">
        <v>0</v>
      </c>
      <c r="G218" s="34">
        <f>IFERROR((F218/E218),0)</f>
        <v>0</v>
      </c>
      <c r="H218" s="1">
        <v>134</v>
      </c>
      <c r="I218" s="1">
        <v>847</v>
      </c>
      <c r="J218" s="64">
        <f>IFERROR((I218/H218),0)</f>
        <v>6.3208955223880601</v>
      </c>
      <c r="K218" s="90">
        <f>I218-F218</f>
        <v>847</v>
      </c>
      <c r="L218" s="90">
        <f>(H218-E218)/1000</f>
        <v>0.13400000000000001</v>
      </c>
      <c r="M218" s="55" t="s">
        <v>1061</v>
      </c>
      <c r="O218" s="19" t="e">
        <f>K218/F218</f>
        <v>#DIV/0!</v>
      </c>
      <c r="P218" s="19" t="e">
        <f>L218/(E218/1000)</f>
        <v>#DIV/0!</v>
      </c>
      <c r="R218" s="20" t="s">
        <v>1297</v>
      </c>
      <c r="T218">
        <v>0</v>
      </c>
      <c r="U218">
        <v>0</v>
      </c>
      <c r="V218" s="18">
        <f>IFERROR((U218/T218),0)</f>
        <v>0</v>
      </c>
      <c r="W218" s="4">
        <f>F218-U218</f>
        <v>0</v>
      </c>
      <c r="X218" s="19" t="e">
        <f>W218/F218</f>
        <v>#DIV/0!</v>
      </c>
      <c r="Y218" s="37"/>
    </row>
    <row r="219" spans="1:25" x14ac:dyDescent="0.35">
      <c r="A219" t="s">
        <v>491</v>
      </c>
      <c r="B219" s="66" t="s">
        <v>841</v>
      </c>
      <c r="C219" s="67" t="s">
        <v>753</v>
      </c>
      <c r="D219" s="68" t="s">
        <v>354</v>
      </c>
      <c r="E219" s="60">
        <v>44</v>
      </c>
      <c r="F219" s="60">
        <v>2214.8000000000002</v>
      </c>
      <c r="G219" s="56">
        <f>IFERROR((F219/E219),0)</f>
        <v>50.336363636363643</v>
      </c>
      <c r="H219" s="1">
        <v>154</v>
      </c>
      <c r="I219" s="1">
        <v>2848</v>
      </c>
      <c r="J219" s="64">
        <f>IFERROR((I219/H219),0)</f>
        <v>18.493506493506494</v>
      </c>
      <c r="K219" s="90">
        <f>I219-F219</f>
        <v>633.19999999999982</v>
      </c>
      <c r="L219" s="90">
        <f>(H219-E219)/1000</f>
        <v>0.11</v>
      </c>
      <c r="M219" s="55" t="s">
        <v>1061</v>
      </c>
      <c r="O219" s="19">
        <f>K219/F219</f>
        <v>0.28589488892902282</v>
      </c>
      <c r="P219" s="19">
        <f>L219/(E219/1000)</f>
        <v>2.5</v>
      </c>
      <c r="R219" s="20" t="s">
        <v>1293</v>
      </c>
      <c r="W219" s="61"/>
      <c r="Y219" s="55"/>
    </row>
    <row r="220" spans="1:25" x14ac:dyDescent="0.35">
      <c r="A220" t="s">
        <v>528</v>
      </c>
      <c r="B220" s="66" t="s">
        <v>837</v>
      </c>
      <c r="C220" s="67" t="s">
        <v>742</v>
      </c>
      <c r="D220" s="68" t="s">
        <v>342</v>
      </c>
      <c r="E220" s="60">
        <v>71</v>
      </c>
      <c r="F220" s="60">
        <v>1068.2439999999999</v>
      </c>
      <c r="G220" s="34">
        <f>IFERROR((F220/E220),0)</f>
        <v>15.045690140845069</v>
      </c>
      <c r="H220" s="1">
        <v>48</v>
      </c>
      <c r="I220" s="1">
        <v>1668</v>
      </c>
      <c r="J220" s="64">
        <f>IFERROR((I220/H220),0)</f>
        <v>34.75</v>
      </c>
      <c r="K220" s="90">
        <f>I220-F220</f>
        <v>599.75600000000009</v>
      </c>
      <c r="L220" s="90">
        <f>(H220-E220)/1000</f>
        <v>-2.3E-2</v>
      </c>
      <c r="M220" s="55" t="s">
        <v>1061</v>
      </c>
      <c r="O220" s="19">
        <f>K220/F220</f>
        <v>0.56144101909301636</v>
      </c>
      <c r="P220" s="19">
        <f>L220/(E220/1000)</f>
        <v>-0.323943661971831</v>
      </c>
      <c r="R220" s="20" t="s">
        <v>1601</v>
      </c>
      <c r="T220">
        <v>2568</v>
      </c>
      <c r="U220">
        <v>86547</v>
      </c>
      <c r="V220" s="18">
        <f t="shared" ref="V220:V226" si="27">IFERROR((U220/T220),0)</f>
        <v>33.70210280373832</v>
      </c>
      <c r="W220" s="4">
        <f t="shared" ref="W220:W226" si="28">F220-U220</f>
        <v>-85478.755999999994</v>
      </c>
      <c r="X220" s="19">
        <f t="shared" ref="X220:X226" si="29">W220/F220</f>
        <v>-80.018007121968395</v>
      </c>
      <c r="Y220" s="37"/>
    </row>
    <row r="221" spans="1:25" x14ac:dyDescent="0.35">
      <c r="A221" t="s">
        <v>932</v>
      </c>
      <c r="B221" s="66" t="s">
        <v>1721</v>
      </c>
      <c r="C221" s="67" t="s">
        <v>1717</v>
      </c>
      <c r="D221" s="68" t="s">
        <v>1718</v>
      </c>
      <c r="E221" s="59">
        <v>0</v>
      </c>
      <c r="F221" s="59">
        <v>0</v>
      </c>
      <c r="G221" s="34">
        <f>IFERROR((F221/E221),0)</f>
        <v>0</v>
      </c>
      <c r="H221" s="1">
        <v>20</v>
      </c>
      <c r="I221" s="1">
        <v>495</v>
      </c>
      <c r="J221" s="64">
        <f>IFERROR((I221/H221),0)</f>
        <v>24.75</v>
      </c>
      <c r="K221" s="90">
        <f>I221-F221</f>
        <v>495</v>
      </c>
      <c r="L221" s="90">
        <f>(H221-E221)/1000</f>
        <v>0.02</v>
      </c>
      <c r="M221" s="55" t="s">
        <v>1061</v>
      </c>
      <c r="O221" s="19" t="e">
        <f>K221/F221</f>
        <v>#DIV/0!</v>
      </c>
      <c r="P221" s="19" t="e">
        <f>L221/(E221/1000)</f>
        <v>#DIV/0!</v>
      </c>
      <c r="R221" s="20" t="s">
        <v>1296</v>
      </c>
      <c r="T221">
        <v>0</v>
      </c>
      <c r="U221">
        <v>0</v>
      </c>
      <c r="V221" s="18">
        <f t="shared" si="27"/>
        <v>0</v>
      </c>
      <c r="W221" s="4">
        <f t="shared" si="28"/>
        <v>0</v>
      </c>
      <c r="X221" s="19" t="e">
        <f t="shared" si="29"/>
        <v>#DIV/0!</v>
      </c>
      <c r="Y221" s="37"/>
    </row>
    <row r="222" spans="1:25" x14ac:dyDescent="0.35">
      <c r="A222" t="s">
        <v>669</v>
      </c>
      <c r="B222" s="85" t="s">
        <v>822</v>
      </c>
      <c r="C222" s="67" t="s">
        <v>671</v>
      </c>
      <c r="D222" s="68" t="s">
        <v>92</v>
      </c>
      <c r="E222" s="59">
        <v>0</v>
      </c>
      <c r="F222" s="59">
        <v>0</v>
      </c>
      <c r="G222" s="34">
        <f>IFERROR((F222/E222),0)</f>
        <v>0</v>
      </c>
      <c r="H222" s="1">
        <v>30</v>
      </c>
      <c r="I222" s="1">
        <v>447</v>
      </c>
      <c r="J222" s="64">
        <f>IFERROR((I222/H222),0)</f>
        <v>14.9</v>
      </c>
      <c r="K222" s="90">
        <f>I222-F222</f>
        <v>447</v>
      </c>
      <c r="L222" s="90">
        <f>(H222-E222)/1000</f>
        <v>0.03</v>
      </c>
      <c r="M222" s="55" t="s">
        <v>1061</v>
      </c>
      <c r="O222" s="19" t="e">
        <f>K222/F222</f>
        <v>#DIV/0!</v>
      </c>
      <c r="P222" s="19" t="e">
        <f>L222/(E222/1000)</f>
        <v>#DIV/0!</v>
      </c>
      <c r="R222" s="20" t="s">
        <v>1601</v>
      </c>
      <c r="T222">
        <v>6449</v>
      </c>
      <c r="U222">
        <v>103645</v>
      </c>
      <c r="V222" s="18">
        <f t="shared" si="27"/>
        <v>16.071483951000154</v>
      </c>
      <c r="W222" s="4">
        <f t="shared" si="28"/>
        <v>-103645</v>
      </c>
      <c r="X222" s="19" t="e">
        <f t="shared" si="29"/>
        <v>#DIV/0!</v>
      </c>
      <c r="Y222" s="37"/>
    </row>
    <row r="223" spans="1:25" x14ac:dyDescent="0.35">
      <c r="A223" t="s">
        <v>388</v>
      </c>
      <c r="B223" s="66" t="s">
        <v>1394</v>
      </c>
      <c r="C223" s="67" t="s">
        <v>1410</v>
      </c>
      <c r="D223" s="68" t="s">
        <v>1345</v>
      </c>
      <c r="E223" s="59">
        <v>393</v>
      </c>
      <c r="F223" s="59">
        <v>11014.64</v>
      </c>
      <c r="G223" s="34">
        <f>IFERROR((F223/E223),0)</f>
        <v>28.027073791348599</v>
      </c>
      <c r="H223" s="1">
        <v>424</v>
      </c>
      <c r="I223" s="1">
        <v>11427</v>
      </c>
      <c r="J223" s="64">
        <f>IFERROR((I223/H223),0)</f>
        <v>26.950471698113208</v>
      </c>
      <c r="K223" s="90">
        <f>I223-F223</f>
        <v>412.36000000000058</v>
      </c>
      <c r="L223" s="90">
        <f>(H223-E223)/1000</f>
        <v>3.1E-2</v>
      </c>
      <c r="M223" s="55" t="s">
        <v>1061</v>
      </c>
      <c r="O223" s="19">
        <f>K223/F223</f>
        <v>3.7437446888867965E-2</v>
      </c>
      <c r="P223" s="19">
        <f>L223/(E223/1000)</f>
        <v>7.8880407124681931E-2</v>
      </c>
      <c r="R223" s="20" t="s">
        <v>1289</v>
      </c>
      <c r="T223">
        <v>0</v>
      </c>
      <c r="U223">
        <v>61217</v>
      </c>
      <c r="V223" s="18">
        <f t="shared" si="27"/>
        <v>0</v>
      </c>
      <c r="W223" s="4">
        <f t="shared" si="28"/>
        <v>-50202.36</v>
      </c>
      <c r="X223" s="19">
        <f t="shared" si="29"/>
        <v>-4.557784911717496</v>
      </c>
      <c r="Y223" s="37" t="s">
        <v>1277</v>
      </c>
    </row>
    <row r="224" spans="1:25" x14ac:dyDescent="0.35">
      <c r="A224" t="s">
        <v>1137</v>
      </c>
      <c r="B224" s="66" t="s">
        <v>1595</v>
      </c>
      <c r="C224" s="67" t="s">
        <v>1540</v>
      </c>
      <c r="D224" s="68" t="s">
        <v>1594</v>
      </c>
      <c r="E224" s="60">
        <v>57478</v>
      </c>
      <c r="F224" s="60">
        <v>250774</v>
      </c>
      <c r="G224" s="34">
        <f>IFERROR((F224/E224),0)</f>
        <v>4.3629562615261488</v>
      </c>
      <c r="H224" s="1">
        <v>51036</v>
      </c>
      <c r="I224" s="1">
        <v>251158</v>
      </c>
      <c r="J224" s="64">
        <f>IFERROR((I224/H224),0)</f>
        <v>4.9211928834548164</v>
      </c>
      <c r="K224" s="90">
        <f>I224-F224</f>
        <v>384</v>
      </c>
      <c r="L224" s="90">
        <f>(H224-E224)/1000</f>
        <v>-6.4420000000000002</v>
      </c>
      <c r="M224" s="55" t="s">
        <v>1061</v>
      </c>
      <c r="O224" s="19">
        <f>K224/F224</f>
        <v>1.5312592214503896E-3</v>
      </c>
      <c r="P224" s="19">
        <f>L224/(E224/1000)</f>
        <v>-0.11207766449772087</v>
      </c>
      <c r="R224" s="20" t="s">
        <v>1301</v>
      </c>
      <c r="T224">
        <v>0</v>
      </c>
      <c r="U224">
        <v>0</v>
      </c>
      <c r="V224" s="18">
        <f t="shared" si="27"/>
        <v>0</v>
      </c>
      <c r="W224" s="4">
        <f t="shared" si="28"/>
        <v>250774</v>
      </c>
      <c r="X224" s="19">
        <f t="shared" si="29"/>
        <v>1</v>
      </c>
      <c r="Y224" s="37"/>
    </row>
    <row r="225" spans="1:25" x14ac:dyDescent="0.35">
      <c r="A225" t="s">
        <v>765</v>
      </c>
      <c r="B225" s="66" t="s">
        <v>976</v>
      </c>
      <c r="C225" s="67" t="s">
        <v>926</v>
      </c>
      <c r="D225" s="68" t="s">
        <v>927</v>
      </c>
      <c r="E225" s="60">
        <v>1054</v>
      </c>
      <c r="F225" s="60">
        <v>13333.68</v>
      </c>
      <c r="G225" s="34">
        <f>IFERROR((F225/E225),0)</f>
        <v>12.650550284629981</v>
      </c>
      <c r="H225" s="1">
        <v>1162</v>
      </c>
      <c r="I225" s="1">
        <v>13666</v>
      </c>
      <c r="J225" s="64">
        <f>IFERROR((I225/H225),0)</f>
        <v>11.760757314974182</v>
      </c>
      <c r="K225" s="90">
        <f>I225-F225</f>
        <v>332.31999999999971</v>
      </c>
      <c r="L225" s="90">
        <f>(H225-E225)/1000</f>
        <v>0.108</v>
      </c>
      <c r="M225" s="55" t="s">
        <v>1061</v>
      </c>
      <c r="O225" s="19">
        <f>K225/F225</f>
        <v>2.4923351992848165E-2</v>
      </c>
      <c r="P225" s="19">
        <f>L225/(E225/1000)</f>
        <v>0.10246679316888045</v>
      </c>
      <c r="R225" s="20" t="s">
        <v>1299</v>
      </c>
      <c r="T225">
        <v>18</v>
      </c>
      <c r="U225">
        <v>480</v>
      </c>
      <c r="V225" s="18">
        <f t="shared" si="27"/>
        <v>26.666666666666668</v>
      </c>
      <c r="W225" s="4">
        <f t="shared" si="28"/>
        <v>12853.68</v>
      </c>
      <c r="X225" s="19">
        <f t="shared" si="29"/>
        <v>0.96400093597566461</v>
      </c>
      <c r="Y225" s="37" t="s">
        <v>1065</v>
      </c>
    </row>
    <row r="226" spans="1:25" x14ac:dyDescent="0.35">
      <c r="A226" t="s">
        <v>481</v>
      </c>
      <c r="B226" s="66" t="s">
        <v>1721</v>
      </c>
      <c r="C226" s="67" t="s">
        <v>1719</v>
      </c>
      <c r="D226" s="68" t="s">
        <v>1720</v>
      </c>
      <c r="E226" s="59">
        <v>0</v>
      </c>
      <c r="F226" s="59">
        <v>0</v>
      </c>
      <c r="G226" s="34">
        <f>IFERROR((F226/E226),0)</f>
        <v>0</v>
      </c>
      <c r="H226" s="1">
        <v>25</v>
      </c>
      <c r="I226" s="1">
        <v>196</v>
      </c>
      <c r="J226" s="64">
        <f>IFERROR((I226/H226),0)</f>
        <v>7.84</v>
      </c>
      <c r="K226" s="90">
        <f>I226-F226</f>
        <v>196</v>
      </c>
      <c r="L226" s="90">
        <f>(H226-E226)/1000</f>
        <v>2.5000000000000001E-2</v>
      </c>
      <c r="M226" s="55" t="s">
        <v>1061</v>
      </c>
      <c r="O226" s="19" t="e">
        <f>K226/F226</f>
        <v>#DIV/0!</v>
      </c>
      <c r="P226" s="19" t="e">
        <f>L226/(E226/1000)</f>
        <v>#DIV/0!</v>
      </c>
      <c r="R226" s="20" t="s">
        <v>1287</v>
      </c>
      <c r="T226">
        <v>4627</v>
      </c>
      <c r="U226">
        <v>81342</v>
      </c>
      <c r="V226" s="18">
        <f t="shared" si="27"/>
        <v>17.579857358979901</v>
      </c>
      <c r="W226" s="4">
        <f t="shared" si="28"/>
        <v>-81342</v>
      </c>
      <c r="X226" s="19" t="e">
        <f t="shared" si="29"/>
        <v>#DIV/0!</v>
      </c>
      <c r="Y226" s="37"/>
    </row>
    <row r="227" spans="1:25" x14ac:dyDescent="0.35">
      <c r="A227" t="s">
        <v>934</v>
      </c>
      <c r="B227" s="66" t="s">
        <v>1225</v>
      </c>
      <c r="C227" s="67" t="s">
        <v>585</v>
      </c>
      <c r="D227" s="68" t="s">
        <v>126</v>
      </c>
      <c r="E227" s="60">
        <v>30</v>
      </c>
      <c r="F227" s="60">
        <v>566.178</v>
      </c>
      <c r="G227" s="34">
        <f>IFERROR((F227/E227),0)</f>
        <v>18.872599999999998</v>
      </c>
      <c r="H227" s="1">
        <v>10</v>
      </c>
      <c r="I227" s="1">
        <v>405</v>
      </c>
      <c r="J227" s="64">
        <f>IFERROR((I227/H227),0)</f>
        <v>40.5</v>
      </c>
      <c r="K227" s="90">
        <f>I227-F227</f>
        <v>-161.178</v>
      </c>
      <c r="L227" s="90">
        <f>(H227-E227)/1000</f>
        <v>-0.02</v>
      </c>
      <c r="M227" s="55" t="s">
        <v>1061</v>
      </c>
      <c r="O227" s="19">
        <f>K227/F227</f>
        <v>-0.28467725697572144</v>
      </c>
      <c r="P227" s="19">
        <f>L227/(E227/1000)</f>
        <v>-0.66666666666666674</v>
      </c>
      <c r="R227" s="20" t="s">
        <v>1601</v>
      </c>
      <c r="W227" s="61"/>
      <c r="Y227" s="55"/>
    </row>
    <row r="228" spans="1:25" x14ac:dyDescent="0.35">
      <c r="A228" t="s">
        <v>416</v>
      </c>
      <c r="B228" s="66" t="s">
        <v>815</v>
      </c>
      <c r="C228" s="67" t="s">
        <v>680</v>
      </c>
      <c r="D228" s="68" t="s">
        <v>115</v>
      </c>
      <c r="E228" s="60">
        <v>10</v>
      </c>
      <c r="F228" s="60">
        <v>450</v>
      </c>
      <c r="G228" s="34">
        <f>IFERROR((F228/E228),0)</f>
        <v>45</v>
      </c>
      <c r="H228" s="1">
        <v>0</v>
      </c>
      <c r="I228" s="1">
        <v>0</v>
      </c>
      <c r="J228" s="64">
        <f>IFERROR((I228/H228),0)</f>
        <v>0</v>
      </c>
      <c r="K228" s="90">
        <f>I228-F228</f>
        <v>-450</v>
      </c>
      <c r="L228" s="90">
        <f>(H228-E228)/1000</f>
        <v>-0.01</v>
      </c>
      <c r="M228" s="55" t="s">
        <v>845</v>
      </c>
      <c r="O228" s="19">
        <f>K228/F228</f>
        <v>-1</v>
      </c>
      <c r="P228" s="19">
        <f>L228/(E228/1000)</f>
        <v>-1</v>
      </c>
      <c r="R228" s="20" t="s">
        <v>1601</v>
      </c>
      <c r="T228">
        <v>138</v>
      </c>
      <c r="U228">
        <v>8469</v>
      </c>
      <c r="V228" s="18">
        <f>IFERROR((U228/T228),0)</f>
        <v>61.369565217391305</v>
      </c>
      <c r="W228" s="4">
        <f>F228-U228</f>
        <v>-8019</v>
      </c>
      <c r="X228" s="19">
        <f>W228/F228</f>
        <v>-17.82</v>
      </c>
      <c r="Y228" s="37" t="s">
        <v>1277</v>
      </c>
    </row>
    <row r="229" spans="1:25" x14ac:dyDescent="0.35">
      <c r="A229" t="s">
        <v>624</v>
      </c>
      <c r="B229" s="66" t="s">
        <v>1061</v>
      </c>
      <c r="C229" s="67" t="s">
        <v>647</v>
      </c>
      <c r="D229" s="68" t="s">
        <v>25</v>
      </c>
      <c r="E229" s="60">
        <v>63</v>
      </c>
      <c r="F229" s="60">
        <v>515.79999999999995</v>
      </c>
      <c r="G229" s="34">
        <f>IFERROR((F229/E229),0)</f>
        <v>8.1873015873015866</v>
      </c>
      <c r="H229" s="1">
        <v>0</v>
      </c>
      <c r="I229" s="1">
        <v>0</v>
      </c>
      <c r="J229" s="64">
        <f>IFERROR((I229/H229),0)</f>
        <v>0</v>
      </c>
      <c r="K229" s="90">
        <f>I229-F229</f>
        <v>-515.79999999999995</v>
      </c>
      <c r="L229" s="90">
        <f>(H229-E229)/1000</f>
        <v>-6.3E-2</v>
      </c>
      <c r="M229" s="55" t="s">
        <v>845</v>
      </c>
      <c r="O229" s="19">
        <f>K229/F229</f>
        <v>-1</v>
      </c>
      <c r="P229" s="19">
        <f>L229/(E229/1000)</f>
        <v>-1</v>
      </c>
      <c r="R229" s="20" t="s">
        <v>1287</v>
      </c>
      <c r="T229">
        <v>254</v>
      </c>
      <c r="U229">
        <v>3528</v>
      </c>
      <c r="V229" s="18">
        <f>IFERROR((U229/T229),0)</f>
        <v>13.889763779527559</v>
      </c>
      <c r="W229" s="4">
        <f>F229-U229</f>
        <v>-3012.2</v>
      </c>
      <c r="X229" s="19">
        <f>W229/F229</f>
        <v>-5.8398604110120207</v>
      </c>
      <c r="Y229" s="37" t="s">
        <v>1065</v>
      </c>
    </row>
    <row r="230" spans="1:25" x14ac:dyDescent="0.35">
      <c r="A230" t="s">
        <v>766</v>
      </c>
      <c r="B230" s="66" t="s">
        <v>976</v>
      </c>
      <c r="C230" s="67" t="s">
        <v>879</v>
      </c>
      <c r="D230" s="68" t="s">
        <v>880</v>
      </c>
      <c r="E230" s="60">
        <v>431</v>
      </c>
      <c r="F230" s="60">
        <v>16415.259999999998</v>
      </c>
      <c r="G230" s="34">
        <f>IFERROR((F230/E230),0)</f>
        <v>38.086450116009274</v>
      </c>
      <c r="H230" s="1">
        <v>781</v>
      </c>
      <c r="I230" s="1">
        <v>15786</v>
      </c>
      <c r="J230" s="64">
        <f>IFERROR((I230/H230),0)</f>
        <v>20.212548015364916</v>
      </c>
      <c r="K230" s="90">
        <f>I230-F230</f>
        <v>-629.2599999999984</v>
      </c>
      <c r="L230" s="90">
        <f>(H230-E230)/1000</f>
        <v>0.35</v>
      </c>
      <c r="M230" s="55" t="s">
        <v>1061</v>
      </c>
      <c r="O230" s="19">
        <f>K230/F230</f>
        <v>-3.8333843021676077E-2</v>
      </c>
      <c r="P230" s="19">
        <f>L230/(E230/1000)</f>
        <v>0.81206496519721572</v>
      </c>
      <c r="R230" s="20" t="s">
        <v>1301</v>
      </c>
      <c r="W230" s="61"/>
      <c r="Y230" s="55"/>
    </row>
    <row r="231" spans="1:25" x14ac:dyDescent="0.35">
      <c r="A231" t="s">
        <v>662</v>
      </c>
      <c r="B231" s="66" t="s">
        <v>1595</v>
      </c>
      <c r="C231" s="67" t="s">
        <v>1500</v>
      </c>
      <c r="D231" s="68" t="s">
        <v>1551</v>
      </c>
      <c r="E231" s="60">
        <v>445</v>
      </c>
      <c r="F231" s="60">
        <v>6846.3249999999998</v>
      </c>
      <c r="G231" s="34">
        <f>IFERROR((F231/E231),0)</f>
        <v>15.385</v>
      </c>
      <c r="H231" s="1">
        <v>520</v>
      </c>
      <c r="I231" s="1">
        <v>6203</v>
      </c>
      <c r="J231" s="64">
        <f>IFERROR((I231/H231),0)</f>
        <v>11.928846153846154</v>
      </c>
      <c r="K231" s="90">
        <f>I231-F231</f>
        <v>-643.32499999999982</v>
      </c>
      <c r="L231" s="90">
        <f>(H231-E231)/1000</f>
        <v>7.4999999999999997E-2</v>
      </c>
      <c r="M231" s="55" t="s">
        <v>1061</v>
      </c>
      <c r="O231" s="19">
        <f>K231/F231</f>
        <v>-9.3966471062942508E-2</v>
      </c>
      <c r="P231" s="19">
        <f>L231/(E231/1000)</f>
        <v>0.16853932584269662</v>
      </c>
      <c r="R231" s="20" t="s">
        <v>1294</v>
      </c>
      <c r="T231">
        <v>14362</v>
      </c>
      <c r="U231">
        <v>146438</v>
      </c>
      <c r="V231" s="18">
        <f t="shared" ref="V231:V246" si="30">IFERROR((U231/T231),0)</f>
        <v>10.196212226709372</v>
      </c>
      <c r="W231" s="4">
        <f t="shared" ref="W231:W246" si="31">F231-U231</f>
        <v>-139591.67499999999</v>
      </c>
      <c r="X231" s="19">
        <f t="shared" ref="X231:X246" si="32">W231/F231</f>
        <v>-20.389285492581784</v>
      </c>
      <c r="Y231" s="37"/>
    </row>
    <row r="232" spans="1:25" x14ac:dyDescent="0.35">
      <c r="A232" t="s">
        <v>690</v>
      </c>
      <c r="B232" s="66" t="s">
        <v>826</v>
      </c>
      <c r="C232" s="67" t="s">
        <v>625</v>
      </c>
      <c r="D232" s="68" t="s">
        <v>51</v>
      </c>
      <c r="E232" s="60">
        <v>13304</v>
      </c>
      <c r="F232" s="60">
        <v>185486.4</v>
      </c>
      <c r="G232" s="34">
        <f>IFERROR((F232/E232),0)</f>
        <v>13.942152736019242</v>
      </c>
      <c r="H232" s="1">
        <v>16181</v>
      </c>
      <c r="I232" s="1">
        <v>184453</v>
      </c>
      <c r="J232" s="64">
        <f>IFERROR((I232/H232),0)</f>
        <v>11.399357270873246</v>
      </c>
      <c r="K232" s="90">
        <f>I232-F232</f>
        <v>-1033.3999999999942</v>
      </c>
      <c r="L232" s="90">
        <f>(H232-E232)/1000</f>
        <v>2.8769999999999998</v>
      </c>
      <c r="M232" s="55" t="s">
        <v>1061</v>
      </c>
      <c r="O232" s="19">
        <f>K232/F232</f>
        <v>-5.5712979496070555E-3</v>
      </c>
      <c r="P232" s="19">
        <f>L232/(E232/1000)</f>
        <v>0.216250751653638</v>
      </c>
      <c r="R232" s="20" t="s">
        <v>1287</v>
      </c>
      <c r="T232">
        <v>0</v>
      </c>
      <c r="U232">
        <v>0</v>
      </c>
      <c r="V232" s="18">
        <f t="shared" si="30"/>
        <v>0</v>
      </c>
      <c r="W232" s="4">
        <f t="shared" si="31"/>
        <v>185486.4</v>
      </c>
      <c r="X232" s="19">
        <f t="shared" si="32"/>
        <v>1</v>
      </c>
      <c r="Y232" s="37"/>
    </row>
    <row r="233" spans="1:25" x14ac:dyDescent="0.35">
      <c r="A233" t="s">
        <v>936</v>
      </c>
      <c r="B233" s="66" t="s">
        <v>836</v>
      </c>
      <c r="C233" s="67" t="s">
        <v>626</v>
      </c>
      <c r="D233" s="68" t="s">
        <v>318</v>
      </c>
      <c r="E233" s="60">
        <v>60</v>
      </c>
      <c r="F233" s="60">
        <v>1234</v>
      </c>
      <c r="G233" s="56">
        <f>IFERROR((F233/E233),0)</f>
        <v>20.566666666666666</v>
      </c>
      <c r="H233" s="1">
        <v>0</v>
      </c>
      <c r="I233" s="1">
        <v>0</v>
      </c>
      <c r="J233" s="64">
        <f>IFERROR((I233/H233),0)</f>
        <v>0</v>
      </c>
      <c r="K233" s="90">
        <f>I233-F233</f>
        <v>-1234</v>
      </c>
      <c r="L233" s="90">
        <f>(H233-E233)/1000</f>
        <v>-0.06</v>
      </c>
      <c r="M233" s="55" t="s">
        <v>845</v>
      </c>
      <c r="O233" s="19">
        <f>K233/F233</f>
        <v>-1</v>
      </c>
      <c r="P233" s="19">
        <f>L233/(E233/1000)</f>
        <v>-1</v>
      </c>
      <c r="R233" s="20" t="s">
        <v>1603</v>
      </c>
      <c r="T233">
        <v>66009</v>
      </c>
      <c r="U233">
        <v>804585</v>
      </c>
      <c r="V233" s="18">
        <f t="shared" si="30"/>
        <v>12.189019679134663</v>
      </c>
      <c r="W233" s="4">
        <f t="shared" si="31"/>
        <v>-803351</v>
      </c>
      <c r="X233" s="19">
        <f t="shared" si="32"/>
        <v>-651.01377633711502</v>
      </c>
      <c r="Y233" s="37"/>
    </row>
    <row r="234" spans="1:25" x14ac:dyDescent="0.35">
      <c r="A234" t="s">
        <v>580</v>
      </c>
      <c r="B234" s="66" t="s">
        <v>1219</v>
      </c>
      <c r="C234" s="67" t="s">
        <v>1129</v>
      </c>
      <c r="D234" s="68" t="s">
        <v>1593</v>
      </c>
      <c r="E234" s="60">
        <v>58</v>
      </c>
      <c r="F234" s="60">
        <v>1279.4960000000001</v>
      </c>
      <c r="G234" s="56">
        <f>IFERROR((F234/E234),0)</f>
        <v>22.060275862068966</v>
      </c>
      <c r="H234" s="1">
        <v>0</v>
      </c>
      <c r="I234" s="1">
        <v>0</v>
      </c>
      <c r="J234" s="64">
        <f>IFERROR((I234/H234),0)</f>
        <v>0</v>
      </c>
      <c r="K234" s="90">
        <f>I234-F234</f>
        <v>-1279.4960000000001</v>
      </c>
      <c r="L234" s="90">
        <f>(H234-E234)/1000</f>
        <v>-5.8000000000000003E-2</v>
      </c>
      <c r="M234" s="55" t="s">
        <v>845</v>
      </c>
      <c r="O234" s="19">
        <f>K234/F234</f>
        <v>-1</v>
      </c>
      <c r="P234" s="19">
        <f>L234/(E234/1000)</f>
        <v>-1</v>
      </c>
      <c r="R234" s="20" t="s">
        <v>1294</v>
      </c>
      <c r="T234">
        <v>0</v>
      </c>
      <c r="U234">
        <v>0</v>
      </c>
      <c r="V234" s="18">
        <f t="shared" si="30"/>
        <v>0</v>
      </c>
      <c r="W234" s="4">
        <f t="shared" si="31"/>
        <v>1279.4960000000001</v>
      </c>
      <c r="X234" s="19">
        <f t="shared" si="32"/>
        <v>1</v>
      </c>
      <c r="Y234" s="37"/>
    </row>
    <row r="235" spans="1:25" x14ac:dyDescent="0.35">
      <c r="A235" t="s">
        <v>1451</v>
      </c>
      <c r="B235" s="66" t="s">
        <v>1219</v>
      </c>
      <c r="C235" s="67" t="s">
        <v>1111</v>
      </c>
      <c r="D235" s="68" t="s">
        <v>1164</v>
      </c>
      <c r="E235" s="60">
        <v>85</v>
      </c>
      <c r="F235" s="60">
        <v>1296.5</v>
      </c>
      <c r="G235" s="34">
        <f>IFERROR((F235/E235),0)</f>
        <v>15.252941176470589</v>
      </c>
      <c r="H235" s="1">
        <v>0</v>
      </c>
      <c r="I235" s="1">
        <v>0</v>
      </c>
      <c r="J235" s="64">
        <f>IFERROR((I235/H235),0)</f>
        <v>0</v>
      </c>
      <c r="K235" s="90">
        <f>I235-F235</f>
        <v>-1296.5</v>
      </c>
      <c r="L235" s="90">
        <f>(H235-E235)/1000</f>
        <v>-8.5000000000000006E-2</v>
      </c>
      <c r="M235" s="55" t="s">
        <v>845</v>
      </c>
      <c r="O235" s="19">
        <f>K235/F235</f>
        <v>-1</v>
      </c>
      <c r="P235" s="19">
        <f>L235/(E235/1000)</f>
        <v>-1</v>
      </c>
      <c r="R235" s="20" t="s">
        <v>1289</v>
      </c>
      <c r="T235">
        <v>0</v>
      </c>
      <c r="U235">
        <v>0</v>
      </c>
      <c r="V235" s="18">
        <f t="shared" si="30"/>
        <v>0</v>
      </c>
      <c r="W235" s="4">
        <f t="shared" si="31"/>
        <v>1296.5</v>
      </c>
      <c r="X235" s="19">
        <f t="shared" si="32"/>
        <v>1</v>
      </c>
      <c r="Y235" s="37"/>
    </row>
    <row r="236" spans="1:25" x14ac:dyDescent="0.35">
      <c r="A236" t="s">
        <v>397</v>
      </c>
      <c r="B236" s="66" t="s">
        <v>1219</v>
      </c>
      <c r="C236" s="67" t="s">
        <v>1120</v>
      </c>
      <c r="D236" s="68" t="s">
        <v>1194</v>
      </c>
      <c r="E236" s="60">
        <v>2360</v>
      </c>
      <c r="F236" s="60">
        <v>30538.68</v>
      </c>
      <c r="G236" s="34">
        <f>IFERROR((F236/E236),0)</f>
        <v>12.940118644067796</v>
      </c>
      <c r="H236" s="1">
        <v>2208</v>
      </c>
      <c r="I236" s="1">
        <v>29223</v>
      </c>
      <c r="J236" s="64">
        <f>IFERROR((I236/H236),0)</f>
        <v>13.235054347826088</v>
      </c>
      <c r="K236" s="90">
        <f>I236-F236</f>
        <v>-1315.6800000000003</v>
      </c>
      <c r="L236" s="90">
        <f>(H236-E236)/1000</f>
        <v>-0.152</v>
      </c>
      <c r="M236" s="55" t="s">
        <v>1061</v>
      </c>
      <c r="O236" s="19">
        <f>K236/F236</f>
        <v>-4.3082412206421505E-2</v>
      </c>
      <c r="P236" s="19">
        <f>L236/(E236/1000)</f>
        <v>-6.4406779661016947E-2</v>
      </c>
      <c r="R236" s="20" t="s">
        <v>1310</v>
      </c>
      <c r="T236">
        <v>9498</v>
      </c>
      <c r="U236">
        <v>96466</v>
      </c>
      <c r="V236" s="18">
        <f t="shared" si="30"/>
        <v>10.15645399031375</v>
      </c>
      <c r="W236" s="4">
        <f t="shared" si="31"/>
        <v>-65927.320000000007</v>
      </c>
      <c r="X236" s="19">
        <f t="shared" si="32"/>
        <v>-2.1588136749852977</v>
      </c>
      <c r="Y236" s="37"/>
    </row>
    <row r="237" spans="1:25" x14ac:dyDescent="0.35">
      <c r="A237" t="s">
        <v>999</v>
      </c>
      <c r="B237" s="66" t="s">
        <v>1595</v>
      </c>
      <c r="C237" s="67" t="s">
        <v>1491</v>
      </c>
      <c r="D237" s="68" t="s">
        <v>1541</v>
      </c>
      <c r="E237" s="60">
        <v>55</v>
      </c>
      <c r="F237" s="60">
        <v>3251.4</v>
      </c>
      <c r="G237" s="34">
        <f>IFERROR((F237/E237),0)</f>
        <v>59.116363636363637</v>
      </c>
      <c r="H237" s="1">
        <v>15</v>
      </c>
      <c r="I237" s="1">
        <v>1587</v>
      </c>
      <c r="J237" s="64">
        <f>IFERROR((I237/H237),0)</f>
        <v>105.8</v>
      </c>
      <c r="K237" s="90">
        <f>I237-F237</f>
        <v>-1664.4</v>
      </c>
      <c r="L237" s="90">
        <f>(H237-E237)/1000</f>
        <v>-0.04</v>
      </c>
      <c r="M237" s="55" t="s">
        <v>1061</v>
      </c>
      <c r="O237" s="19">
        <f>K237/F237</f>
        <v>-0.51190256504890197</v>
      </c>
      <c r="P237" s="19">
        <f>L237/(E237/1000)</f>
        <v>-0.72727272727272729</v>
      </c>
      <c r="R237" s="20" t="s">
        <v>1288</v>
      </c>
      <c r="T237">
        <v>4515</v>
      </c>
      <c r="U237">
        <v>33234</v>
      </c>
      <c r="V237" s="18">
        <f t="shared" si="30"/>
        <v>7.3607973421926909</v>
      </c>
      <c r="W237" s="4">
        <f t="shared" si="31"/>
        <v>-29982.6</v>
      </c>
      <c r="X237" s="19">
        <f t="shared" si="32"/>
        <v>-9.2214430706772461</v>
      </c>
      <c r="Y237" s="37" t="s">
        <v>1277</v>
      </c>
    </row>
    <row r="238" spans="1:25" x14ac:dyDescent="0.35">
      <c r="A238" t="s">
        <v>767</v>
      </c>
      <c r="B238" s="66" t="s">
        <v>819</v>
      </c>
      <c r="C238" s="67" t="s">
        <v>661</v>
      </c>
      <c r="D238" s="68" t="s">
        <v>995</v>
      </c>
      <c r="E238" s="60">
        <v>276</v>
      </c>
      <c r="F238" s="60">
        <v>4215.1790000000001</v>
      </c>
      <c r="G238" s="34">
        <f>IFERROR((F238/E238),0)</f>
        <v>15.272387681159421</v>
      </c>
      <c r="H238" s="1">
        <v>15</v>
      </c>
      <c r="I238" s="1">
        <v>2506</v>
      </c>
      <c r="J238" s="64">
        <f>IFERROR((I238/H238),0)</f>
        <v>167.06666666666666</v>
      </c>
      <c r="K238" s="90">
        <f>I238-F238</f>
        <v>-1709.1790000000001</v>
      </c>
      <c r="L238" s="90">
        <f>(H238-E238)/1000</f>
        <v>-0.26100000000000001</v>
      </c>
      <c r="M238" s="55" t="s">
        <v>1061</v>
      </c>
      <c r="O238" s="19">
        <f>K238/F238</f>
        <v>-0.4054819498768617</v>
      </c>
      <c r="P238" s="19">
        <f>L238/(E238/1000)</f>
        <v>-0.94565217391304346</v>
      </c>
      <c r="R238" s="20" t="s">
        <v>1601</v>
      </c>
      <c r="T238">
        <v>6422</v>
      </c>
      <c r="U238">
        <v>127002</v>
      </c>
      <c r="V238" s="18">
        <f t="shared" si="30"/>
        <v>19.776082217377763</v>
      </c>
      <c r="W238" s="4">
        <f t="shared" si="31"/>
        <v>-122786.821</v>
      </c>
      <c r="X238" s="19">
        <f t="shared" si="32"/>
        <v>-29.129681325514287</v>
      </c>
      <c r="Y238" s="37" t="s">
        <v>1277</v>
      </c>
    </row>
    <row r="239" spans="1:25" x14ac:dyDescent="0.35">
      <c r="A239" t="s">
        <v>1454</v>
      </c>
      <c r="B239" s="66" t="s">
        <v>1394</v>
      </c>
      <c r="C239" s="67" t="s">
        <v>1441</v>
      </c>
      <c r="D239" s="68" t="s">
        <v>1361</v>
      </c>
      <c r="E239" s="60">
        <v>179</v>
      </c>
      <c r="F239" s="60">
        <v>2453</v>
      </c>
      <c r="G239" s="34">
        <f>IFERROR((F239/E239),0)</f>
        <v>13.703910614525139</v>
      </c>
      <c r="H239" s="1">
        <v>0</v>
      </c>
      <c r="I239" s="1">
        <v>0</v>
      </c>
      <c r="J239" s="64">
        <f>IFERROR((I239/H239),0)</f>
        <v>0</v>
      </c>
      <c r="K239" s="90">
        <f>I239-F239</f>
        <v>-2453</v>
      </c>
      <c r="L239" s="90">
        <f>(H239-E239)/1000</f>
        <v>-0.17899999999999999</v>
      </c>
      <c r="M239" s="55" t="s">
        <v>845</v>
      </c>
      <c r="O239" s="19">
        <f>K239/F239</f>
        <v>-1</v>
      </c>
      <c r="P239" s="19">
        <f>L239/(E239/1000)</f>
        <v>-1</v>
      </c>
      <c r="R239" s="20" t="s">
        <v>1283</v>
      </c>
      <c r="T239">
        <v>3165</v>
      </c>
      <c r="U239">
        <v>27628</v>
      </c>
      <c r="V239" s="18">
        <f t="shared" si="30"/>
        <v>8.7292259083728272</v>
      </c>
      <c r="W239" s="4">
        <f t="shared" si="31"/>
        <v>-25175</v>
      </c>
      <c r="X239" s="19">
        <f t="shared" si="32"/>
        <v>-10.262943334692213</v>
      </c>
      <c r="Y239" s="37"/>
    </row>
    <row r="240" spans="1:25" x14ac:dyDescent="0.35">
      <c r="A240" t="s">
        <v>1455</v>
      </c>
      <c r="B240" s="66" t="s">
        <v>837</v>
      </c>
      <c r="C240" s="67" t="s">
        <v>777</v>
      </c>
      <c r="D240" s="68" t="s">
        <v>379</v>
      </c>
      <c r="E240" s="60">
        <v>182</v>
      </c>
      <c r="F240" s="60">
        <v>2519.7600000000002</v>
      </c>
      <c r="G240" s="34">
        <f>IFERROR((F240/E240),0)</f>
        <v>13.844835164835166</v>
      </c>
      <c r="H240" s="1">
        <v>0</v>
      </c>
      <c r="I240" s="1">
        <v>0</v>
      </c>
      <c r="J240" s="64">
        <f>IFERROR((I240/H240),0)</f>
        <v>0</v>
      </c>
      <c r="K240" s="90">
        <f>I240-F240</f>
        <v>-2519.7600000000002</v>
      </c>
      <c r="L240" s="90">
        <f>(H240-E240)/1000</f>
        <v>-0.182</v>
      </c>
      <c r="M240" s="55" t="s">
        <v>845</v>
      </c>
      <c r="O240" s="19">
        <f>K240/F240</f>
        <v>-1</v>
      </c>
      <c r="P240" s="19">
        <f>L240/(E240/1000)</f>
        <v>-1</v>
      </c>
      <c r="R240" s="20" t="s">
        <v>1601</v>
      </c>
      <c r="T240">
        <v>42863</v>
      </c>
      <c r="U240">
        <v>577738</v>
      </c>
      <c r="V240" s="18">
        <f t="shared" si="30"/>
        <v>13.478711242796818</v>
      </c>
      <c r="W240" s="4">
        <f t="shared" si="31"/>
        <v>-575218.24</v>
      </c>
      <c r="X240" s="19">
        <f t="shared" si="32"/>
        <v>-228.28294758230939</v>
      </c>
      <c r="Y240" s="37"/>
    </row>
    <row r="241" spans="1:25" x14ac:dyDescent="0.35">
      <c r="A241" t="s">
        <v>1085</v>
      </c>
      <c r="B241" s="66" t="s">
        <v>1394</v>
      </c>
      <c r="C241" s="67" t="s">
        <v>1405</v>
      </c>
      <c r="D241" s="68" t="s">
        <v>1341</v>
      </c>
      <c r="E241" s="60">
        <v>195</v>
      </c>
      <c r="F241" s="60">
        <v>3781.55</v>
      </c>
      <c r="G241" s="34">
        <f>IFERROR((F241/E241),0)</f>
        <v>19.392564102564105</v>
      </c>
      <c r="H241" s="1">
        <v>24</v>
      </c>
      <c r="I241" s="1">
        <v>834</v>
      </c>
      <c r="J241" s="64">
        <f>IFERROR((I241/H241),0)</f>
        <v>34.75</v>
      </c>
      <c r="K241" s="90">
        <f>I241-F241</f>
        <v>-2947.55</v>
      </c>
      <c r="L241" s="90">
        <f>(H241-E241)/1000</f>
        <v>-0.17100000000000001</v>
      </c>
      <c r="M241" s="55" t="s">
        <v>1277</v>
      </c>
      <c r="O241" s="19">
        <f>K241/F241</f>
        <v>-0.77945551427324777</v>
      </c>
      <c r="P241" s="19">
        <f>L241/(E241/1000)</f>
        <v>-0.87692307692307692</v>
      </c>
      <c r="R241" s="20" t="s">
        <v>1318</v>
      </c>
      <c r="T241">
        <v>16549</v>
      </c>
      <c r="U241">
        <v>267364</v>
      </c>
      <c r="V241" s="18">
        <f t="shared" si="30"/>
        <v>16.155900658650069</v>
      </c>
      <c r="W241" s="4">
        <f t="shared" si="31"/>
        <v>-263582.45</v>
      </c>
      <c r="X241" s="19">
        <f t="shared" si="32"/>
        <v>-69.702225277994472</v>
      </c>
      <c r="Y241" s="37"/>
    </row>
    <row r="242" spans="1:25" x14ac:dyDescent="0.35">
      <c r="A242" t="s">
        <v>1131</v>
      </c>
      <c r="B242" s="66" t="s">
        <v>1221</v>
      </c>
      <c r="C242" s="67" t="s">
        <v>532</v>
      </c>
      <c r="D242" s="68" t="s">
        <v>199</v>
      </c>
      <c r="E242" s="60">
        <v>320</v>
      </c>
      <c r="F242" s="60">
        <v>3672</v>
      </c>
      <c r="G242" s="34">
        <f>IFERROR((F242/E242),0)</f>
        <v>11.475</v>
      </c>
      <c r="H242" s="1">
        <v>26</v>
      </c>
      <c r="I242" s="1">
        <v>482</v>
      </c>
      <c r="J242" s="64">
        <f>IFERROR((I242/H242),0)</f>
        <v>18.53846153846154</v>
      </c>
      <c r="K242" s="90">
        <f>I242-F242</f>
        <v>-3190</v>
      </c>
      <c r="L242" s="90">
        <f>(H242-E242)/1000</f>
        <v>-0.29399999999999998</v>
      </c>
      <c r="M242" s="55" t="s">
        <v>1277</v>
      </c>
      <c r="O242" s="19">
        <f>K242/F242</f>
        <v>-0.86873638344226578</v>
      </c>
      <c r="P242" s="19">
        <f>L242/(E242/1000)</f>
        <v>-0.91874999999999996</v>
      </c>
      <c r="R242" s="20" t="s">
        <v>1601</v>
      </c>
      <c r="T242">
        <v>341</v>
      </c>
      <c r="U242">
        <v>4143</v>
      </c>
      <c r="V242" s="18">
        <f t="shared" si="30"/>
        <v>12.149560117302054</v>
      </c>
      <c r="W242" s="4">
        <f t="shared" si="31"/>
        <v>-471</v>
      </c>
      <c r="X242" s="19">
        <f t="shared" si="32"/>
        <v>-0.12826797385620914</v>
      </c>
      <c r="Y242" s="37"/>
    </row>
    <row r="243" spans="1:25" x14ac:dyDescent="0.35">
      <c r="A243" t="s">
        <v>1109</v>
      </c>
      <c r="B243" s="66" t="s">
        <v>1595</v>
      </c>
      <c r="C243" s="67" t="s">
        <v>1512</v>
      </c>
      <c r="D243" s="68" t="s">
        <v>1563</v>
      </c>
      <c r="E243" s="60">
        <v>545</v>
      </c>
      <c r="F243" s="60">
        <v>6707.0529999999999</v>
      </c>
      <c r="G243" s="34">
        <f>IFERROR((F243/E243),0)</f>
        <v>12.306519266055046</v>
      </c>
      <c r="H243" s="1">
        <v>235</v>
      </c>
      <c r="I243" s="1">
        <v>3434</v>
      </c>
      <c r="J243" s="64">
        <f>IFERROR((I243/H243),0)</f>
        <v>14.612765957446809</v>
      </c>
      <c r="K243" s="90">
        <f>I243-F243</f>
        <v>-3273.0529999999999</v>
      </c>
      <c r="L243" s="90">
        <f>(H243-E243)/1000</f>
        <v>-0.31</v>
      </c>
      <c r="M243" s="55" t="s">
        <v>1061</v>
      </c>
      <c r="O243" s="19">
        <f>K243/F243</f>
        <v>-0.48800166034173281</v>
      </c>
      <c r="P243" s="19">
        <f>L243/(E243/1000)</f>
        <v>-0.5688073394495412</v>
      </c>
      <c r="R243" s="20" t="s">
        <v>1316</v>
      </c>
      <c r="T243">
        <v>5663</v>
      </c>
      <c r="U243">
        <v>53219</v>
      </c>
      <c r="V243" s="18">
        <f t="shared" si="30"/>
        <v>9.3976690799929372</v>
      </c>
      <c r="W243" s="4">
        <f t="shared" si="31"/>
        <v>-46511.947</v>
      </c>
      <c r="X243" s="19">
        <f t="shared" si="32"/>
        <v>-6.9347814904698089</v>
      </c>
      <c r="Y243" s="37" t="s">
        <v>1066</v>
      </c>
    </row>
    <row r="244" spans="1:25" x14ac:dyDescent="0.35">
      <c r="A244" t="s">
        <v>625</v>
      </c>
      <c r="B244" s="66" t="s">
        <v>1219</v>
      </c>
      <c r="C244" s="67" t="s">
        <v>1093</v>
      </c>
      <c r="D244" s="68" t="s">
        <v>1213</v>
      </c>
      <c r="E244" s="59">
        <v>187</v>
      </c>
      <c r="F244" s="59">
        <v>6743.8</v>
      </c>
      <c r="G244" s="34">
        <f>IFERROR((F244/E244),0)</f>
        <v>36.063101604278074</v>
      </c>
      <c r="H244" s="1">
        <v>228</v>
      </c>
      <c r="I244" s="1">
        <v>3259</v>
      </c>
      <c r="J244" s="64">
        <f>IFERROR((I244/H244),0)</f>
        <v>14.293859649122806</v>
      </c>
      <c r="K244" s="90">
        <f>I244-F244</f>
        <v>-3484.8</v>
      </c>
      <c r="L244" s="90">
        <f>(H244-E244)/1000</f>
        <v>4.1000000000000002E-2</v>
      </c>
      <c r="M244" s="55" t="s">
        <v>1061</v>
      </c>
      <c r="O244" s="19">
        <f>K244/F244</f>
        <v>-0.51674130312286848</v>
      </c>
      <c r="P244" s="19">
        <f>L244/(E244/1000)</f>
        <v>0.21925133689839574</v>
      </c>
      <c r="R244" s="20" t="s">
        <v>1302</v>
      </c>
      <c r="T244">
        <v>1664</v>
      </c>
      <c r="U244">
        <v>43923</v>
      </c>
      <c r="V244" s="18">
        <f t="shared" si="30"/>
        <v>26.396033653846153</v>
      </c>
      <c r="W244" s="4">
        <f t="shared" si="31"/>
        <v>-37179.199999999997</v>
      </c>
      <c r="X244" s="19">
        <f t="shared" si="32"/>
        <v>-5.5130935081111536</v>
      </c>
      <c r="Y244" s="37"/>
    </row>
    <row r="245" spans="1:25" x14ac:dyDescent="0.35">
      <c r="A245" t="s">
        <v>643</v>
      </c>
      <c r="B245" s="66" t="s">
        <v>1219</v>
      </c>
      <c r="C245" s="67" t="s">
        <v>1146</v>
      </c>
      <c r="D245" s="68" t="s">
        <v>1201</v>
      </c>
      <c r="E245" s="60">
        <v>29</v>
      </c>
      <c r="F245" s="60">
        <v>3589</v>
      </c>
      <c r="G245" s="34">
        <f>IFERROR((F245/E245),0)</f>
        <v>123.75862068965517</v>
      </c>
      <c r="H245" s="1">
        <v>0</v>
      </c>
      <c r="I245" s="1">
        <v>0</v>
      </c>
      <c r="J245" s="64">
        <f>IFERROR((I245/H245),0)</f>
        <v>0</v>
      </c>
      <c r="K245" s="90">
        <f>I245-F245</f>
        <v>-3589</v>
      </c>
      <c r="L245" s="90">
        <f>(H245-E245)/1000</f>
        <v>-2.9000000000000001E-2</v>
      </c>
      <c r="M245" s="55" t="s">
        <v>845</v>
      </c>
      <c r="O245" s="19">
        <f>K245/F245</f>
        <v>-1</v>
      </c>
      <c r="P245" s="19">
        <f>L245/(E245/1000)</f>
        <v>-1</v>
      </c>
      <c r="R245" s="20" t="s">
        <v>1316</v>
      </c>
      <c r="T245">
        <v>1767</v>
      </c>
      <c r="U245">
        <v>25443</v>
      </c>
      <c r="V245" s="18">
        <f t="shared" si="30"/>
        <v>14.398981324278438</v>
      </c>
      <c r="W245" s="4">
        <f t="shared" si="31"/>
        <v>-21854</v>
      </c>
      <c r="X245" s="19">
        <f t="shared" si="32"/>
        <v>-6.0891613262747279</v>
      </c>
      <c r="Y245" s="37" t="s">
        <v>1277</v>
      </c>
    </row>
    <row r="246" spans="1:25" x14ac:dyDescent="0.35">
      <c r="A246" t="s">
        <v>1105</v>
      </c>
      <c r="B246" s="66" t="s">
        <v>1061</v>
      </c>
      <c r="C246" s="67" t="s">
        <v>449</v>
      </c>
      <c r="D246" s="68" t="s">
        <v>64</v>
      </c>
      <c r="E246" s="60">
        <v>19271</v>
      </c>
      <c r="F246" s="60">
        <v>206232</v>
      </c>
      <c r="G246" s="56">
        <f>IFERROR((F246/E246),0)</f>
        <v>10.701676093612164</v>
      </c>
      <c r="H246" s="1">
        <v>19913</v>
      </c>
      <c r="I246" s="1">
        <v>202390</v>
      </c>
      <c r="J246" s="64">
        <f>IFERROR((I246/H246),0)</f>
        <v>10.163712147843118</v>
      </c>
      <c r="K246" s="90">
        <f>I246-F246</f>
        <v>-3842</v>
      </c>
      <c r="L246" s="90">
        <f>(H246-E246)/1000</f>
        <v>0.64200000000000002</v>
      </c>
      <c r="M246" s="55" t="s">
        <v>1061</v>
      </c>
      <c r="O246" s="19">
        <f>K246/F246</f>
        <v>-1.8629504635556071E-2</v>
      </c>
      <c r="P246" s="19">
        <f>L246/(E246/1000)</f>
        <v>3.3314306470862955E-2</v>
      </c>
      <c r="R246" s="20" t="s">
        <v>1601</v>
      </c>
      <c r="T246">
        <v>0</v>
      </c>
      <c r="U246">
        <v>0</v>
      </c>
      <c r="V246" s="18">
        <f t="shared" si="30"/>
        <v>0</v>
      </c>
      <c r="W246" s="4">
        <f t="shared" si="31"/>
        <v>206232</v>
      </c>
      <c r="X246" s="19">
        <f t="shared" si="32"/>
        <v>1</v>
      </c>
      <c r="Y246" s="37"/>
    </row>
    <row r="247" spans="1:25" x14ac:dyDescent="0.35">
      <c r="A247" t="s">
        <v>1457</v>
      </c>
      <c r="B247" s="66" t="s">
        <v>1219</v>
      </c>
      <c r="C247" s="67" t="s">
        <v>1143</v>
      </c>
      <c r="D247" s="68" t="s">
        <v>1207</v>
      </c>
      <c r="E247" s="59">
        <v>365</v>
      </c>
      <c r="F247" s="59">
        <v>10891</v>
      </c>
      <c r="G247" s="56">
        <f>IFERROR((F247/E247),0)</f>
        <v>29.838356164383562</v>
      </c>
      <c r="H247" s="1">
        <v>230</v>
      </c>
      <c r="I247" s="1">
        <v>6703</v>
      </c>
      <c r="J247" s="64">
        <f>IFERROR((I247/H247),0)</f>
        <v>29.143478260869564</v>
      </c>
      <c r="K247" s="90">
        <f>I247-F247</f>
        <v>-4188</v>
      </c>
      <c r="L247" s="90">
        <f>(H247-E247)/1000</f>
        <v>-0.13500000000000001</v>
      </c>
      <c r="M247" s="55" t="s">
        <v>1061</v>
      </c>
      <c r="O247" s="19">
        <f>K247/F247</f>
        <v>-0.38453769167202279</v>
      </c>
      <c r="P247" s="19">
        <f>L247/(E247/1000)</f>
        <v>-0.36986301369863017</v>
      </c>
      <c r="R247" s="20" t="s">
        <v>1296</v>
      </c>
      <c r="T247">
        <v>0</v>
      </c>
      <c r="U247">
        <v>0</v>
      </c>
      <c r="V247" s="18">
        <f t="shared" ref="V247:V268" si="33">IFERROR((U247/T247),0)</f>
        <v>0</v>
      </c>
      <c r="W247" s="4">
        <f t="shared" ref="W247:W268" si="34">F247-U247</f>
        <v>10891</v>
      </c>
      <c r="X247" s="19">
        <f t="shared" ref="X247:X268" si="35">W247/F247</f>
        <v>1</v>
      </c>
      <c r="Y247" s="37"/>
    </row>
    <row r="248" spans="1:25" x14ac:dyDescent="0.35">
      <c r="A248" t="s">
        <v>635</v>
      </c>
      <c r="B248" s="66" t="s">
        <v>1223</v>
      </c>
      <c r="C248" s="67" t="s">
        <v>556</v>
      </c>
      <c r="D248" s="68" t="s">
        <v>41</v>
      </c>
      <c r="E248" s="59">
        <v>131152</v>
      </c>
      <c r="F248" s="59">
        <v>1224149</v>
      </c>
      <c r="G248" s="34">
        <f>IFERROR((F248/E248),0)</f>
        <v>9.3338187751616442</v>
      </c>
      <c r="H248" s="1">
        <v>133837</v>
      </c>
      <c r="I248" s="1">
        <v>1219787</v>
      </c>
      <c r="J248" s="64">
        <f>IFERROR((I248/H248),0)</f>
        <v>9.1139744614717895</v>
      </c>
      <c r="K248" s="90">
        <f>I248-F248</f>
        <v>-4362</v>
      </c>
      <c r="L248" s="90">
        <f>(H248-E248)/1000</f>
        <v>2.6850000000000001</v>
      </c>
      <c r="M248" s="55" t="s">
        <v>1061</v>
      </c>
      <c r="O248" s="19">
        <f>K248/F248</f>
        <v>-3.5632917234748383E-3</v>
      </c>
      <c r="P248" s="19">
        <f>L248/(E248/1000)</f>
        <v>2.0472428937416132E-2</v>
      </c>
      <c r="R248" s="20" t="s">
        <v>1287</v>
      </c>
      <c r="T248">
        <v>0</v>
      </c>
      <c r="U248">
        <v>0</v>
      </c>
      <c r="V248" s="18">
        <f t="shared" si="33"/>
        <v>0</v>
      </c>
      <c r="W248" s="4">
        <f t="shared" si="34"/>
        <v>1224149</v>
      </c>
      <c r="X248" s="19">
        <f t="shared" si="35"/>
        <v>1</v>
      </c>
      <c r="Y248" s="37"/>
    </row>
    <row r="249" spans="1:25" x14ac:dyDescent="0.35">
      <c r="A249" t="s">
        <v>1111</v>
      </c>
      <c r="B249" s="66" t="s">
        <v>837</v>
      </c>
      <c r="C249" s="67" t="s">
        <v>748</v>
      </c>
      <c r="D249" s="68" t="s">
        <v>349</v>
      </c>
      <c r="E249" s="60">
        <v>525</v>
      </c>
      <c r="F249" s="60">
        <v>4540.75</v>
      </c>
      <c r="G249" s="34">
        <f>IFERROR((F249/E249),0)</f>
        <v>8.6490476190476198</v>
      </c>
      <c r="H249" s="1">
        <v>0</v>
      </c>
      <c r="I249" s="1">
        <v>0</v>
      </c>
      <c r="J249" s="64">
        <f>IFERROR((I249/H249),0)</f>
        <v>0</v>
      </c>
      <c r="K249" s="90">
        <f>I249-F249</f>
        <v>-4540.75</v>
      </c>
      <c r="L249" s="90">
        <f>(H249-E249)/1000</f>
        <v>-0.52500000000000002</v>
      </c>
      <c r="M249" s="55" t="s">
        <v>845</v>
      </c>
      <c r="O249" s="19">
        <f>K249/F249</f>
        <v>-1</v>
      </c>
      <c r="P249" s="19">
        <f>L249/(E249/1000)</f>
        <v>-1</v>
      </c>
      <c r="R249" s="20" t="s">
        <v>1310</v>
      </c>
      <c r="T249">
        <v>0</v>
      </c>
      <c r="U249">
        <v>0</v>
      </c>
      <c r="V249" s="18">
        <f t="shared" si="33"/>
        <v>0</v>
      </c>
      <c r="W249" s="4">
        <f t="shared" si="34"/>
        <v>4540.75</v>
      </c>
      <c r="X249" s="19">
        <f t="shared" si="35"/>
        <v>1</v>
      </c>
      <c r="Y249" s="37"/>
    </row>
    <row r="250" spans="1:25" x14ac:dyDescent="0.35">
      <c r="A250" t="s">
        <v>626</v>
      </c>
      <c r="B250" s="66" t="s">
        <v>1595</v>
      </c>
      <c r="C250" s="67" t="s">
        <v>1515</v>
      </c>
      <c r="D250" s="68" t="s">
        <v>1566</v>
      </c>
      <c r="E250" s="60">
        <v>413</v>
      </c>
      <c r="F250" s="60">
        <v>4858.2</v>
      </c>
      <c r="G250" s="34">
        <f>IFERROR((F250/E250),0)</f>
        <v>11.76319612590799</v>
      </c>
      <c r="H250" s="1">
        <v>0</v>
      </c>
      <c r="I250" s="1">
        <v>0</v>
      </c>
      <c r="J250" s="64">
        <f>IFERROR((I250/H250),0)</f>
        <v>0</v>
      </c>
      <c r="K250" s="90">
        <f>I250-F250</f>
        <v>-4858.2</v>
      </c>
      <c r="L250" s="90">
        <f>(H250-E250)/1000</f>
        <v>-0.41299999999999998</v>
      </c>
      <c r="M250" s="55" t="s">
        <v>845</v>
      </c>
      <c r="O250" s="19">
        <f>K250/F250</f>
        <v>-1</v>
      </c>
      <c r="P250" s="19">
        <f>L250/(E250/1000)</f>
        <v>-1</v>
      </c>
      <c r="R250" s="20" t="s">
        <v>1303</v>
      </c>
      <c r="T250">
        <v>26052</v>
      </c>
      <c r="U250">
        <v>203353</v>
      </c>
      <c r="V250" s="18">
        <f t="shared" si="33"/>
        <v>7.8056579149393519</v>
      </c>
      <c r="W250" s="4">
        <f t="shared" si="34"/>
        <v>-198494.8</v>
      </c>
      <c r="X250" s="19">
        <f t="shared" si="35"/>
        <v>-40.857683915853606</v>
      </c>
      <c r="Y250" s="37" t="s">
        <v>1066</v>
      </c>
    </row>
    <row r="251" spans="1:25" x14ac:dyDescent="0.35">
      <c r="A251" t="s">
        <v>498</v>
      </c>
      <c r="B251" s="66" t="s">
        <v>976</v>
      </c>
      <c r="C251" s="67" t="s">
        <v>896</v>
      </c>
      <c r="D251" s="68" t="s">
        <v>897</v>
      </c>
      <c r="E251" s="60">
        <v>561</v>
      </c>
      <c r="F251" s="60">
        <v>5317.86</v>
      </c>
      <c r="G251" s="34">
        <f>IFERROR((F251/E251),0)</f>
        <v>9.4792513368983951</v>
      </c>
      <c r="H251" s="1">
        <v>20</v>
      </c>
      <c r="I251" s="1">
        <v>405</v>
      </c>
      <c r="J251" s="64">
        <f>IFERROR((I251/H251),0)</f>
        <v>20.25</v>
      </c>
      <c r="K251" s="90">
        <f>I251-F251</f>
        <v>-4912.8599999999997</v>
      </c>
      <c r="L251" s="90">
        <f>(H251-E251)/1000</f>
        <v>-0.54100000000000004</v>
      </c>
      <c r="M251" s="55" t="s">
        <v>1277</v>
      </c>
      <c r="O251" s="19">
        <f>K251/F251</f>
        <v>-0.92384154528325302</v>
      </c>
      <c r="P251" s="19">
        <f>L251/(E251/1000)</f>
        <v>-0.964349376114082</v>
      </c>
      <c r="R251" s="20" t="s">
        <v>1601</v>
      </c>
      <c r="T251">
        <v>0</v>
      </c>
      <c r="U251">
        <v>0</v>
      </c>
      <c r="V251" s="18">
        <f t="shared" si="33"/>
        <v>0</v>
      </c>
      <c r="W251" s="4">
        <f t="shared" si="34"/>
        <v>5317.86</v>
      </c>
      <c r="X251" s="19">
        <f t="shared" si="35"/>
        <v>1</v>
      </c>
      <c r="Y251" s="37"/>
    </row>
    <row r="252" spans="1:25" x14ac:dyDescent="0.35">
      <c r="A252" t="s">
        <v>770</v>
      </c>
      <c r="B252" s="66" t="s">
        <v>974</v>
      </c>
      <c r="C252" s="67" t="s">
        <v>865</v>
      </c>
      <c r="D252" s="68" t="s">
        <v>866</v>
      </c>
      <c r="E252" s="60">
        <v>1525</v>
      </c>
      <c r="F252" s="60">
        <v>19467.34</v>
      </c>
      <c r="G252" s="34">
        <f>IFERROR((F252/E252),0)</f>
        <v>12.765468852459016</v>
      </c>
      <c r="H252" s="1">
        <v>900</v>
      </c>
      <c r="I252" s="1">
        <v>14260</v>
      </c>
      <c r="J252" s="64">
        <f>IFERROR((I252/H252),0)</f>
        <v>15.844444444444445</v>
      </c>
      <c r="K252" s="90">
        <f>I252-F252</f>
        <v>-5207.34</v>
      </c>
      <c r="L252" s="90">
        <f>(H252-E252)/1000</f>
        <v>-0.625</v>
      </c>
      <c r="M252" s="55" t="s">
        <v>1061</v>
      </c>
      <c r="O252" s="19">
        <f>K252/F252</f>
        <v>-0.26749109020544154</v>
      </c>
      <c r="P252" s="19">
        <f>L252/(E252/1000)</f>
        <v>-0.4098360655737705</v>
      </c>
      <c r="R252" s="20" t="s">
        <v>1601</v>
      </c>
      <c r="T252">
        <v>11042</v>
      </c>
      <c r="U252">
        <v>103879</v>
      </c>
      <c r="V252" s="18">
        <f t="shared" si="33"/>
        <v>9.4076254301756936</v>
      </c>
      <c r="W252" s="4">
        <f t="shared" si="34"/>
        <v>-84411.66</v>
      </c>
      <c r="X252" s="19">
        <f t="shared" si="35"/>
        <v>-4.3360654306135302</v>
      </c>
      <c r="Y252" s="37"/>
    </row>
    <row r="253" spans="1:25" x14ac:dyDescent="0.35">
      <c r="A253" t="s">
        <v>1458</v>
      </c>
      <c r="B253" s="66" t="s">
        <v>976</v>
      </c>
      <c r="C253" s="67" t="s">
        <v>898</v>
      </c>
      <c r="D253" s="68" t="s">
        <v>899</v>
      </c>
      <c r="E253" s="60">
        <v>488</v>
      </c>
      <c r="F253" s="60">
        <v>5255.85</v>
      </c>
      <c r="G253" s="34">
        <f>IFERROR((F253/E253),0)</f>
        <v>10.770184426229509</v>
      </c>
      <c r="H253" s="1">
        <v>0</v>
      </c>
      <c r="I253" s="1">
        <v>0</v>
      </c>
      <c r="J253" s="64">
        <f>IFERROR((I253/H253),0)</f>
        <v>0</v>
      </c>
      <c r="K253" s="90">
        <f>I253-F253</f>
        <v>-5255.85</v>
      </c>
      <c r="L253" s="90">
        <f>(H253-E253)/1000</f>
        <v>-0.48799999999999999</v>
      </c>
      <c r="M253" s="55" t="s">
        <v>845</v>
      </c>
      <c r="O253" s="19">
        <f>K253/F253</f>
        <v>-1</v>
      </c>
      <c r="P253" s="19">
        <f>L253/(E253/1000)</f>
        <v>-1</v>
      </c>
      <c r="R253" s="20" t="s">
        <v>1601</v>
      </c>
      <c r="T253">
        <v>0</v>
      </c>
      <c r="U253">
        <v>0</v>
      </c>
      <c r="V253" s="18">
        <f t="shared" si="33"/>
        <v>0</v>
      </c>
      <c r="W253" s="4">
        <f t="shared" si="34"/>
        <v>5255.85</v>
      </c>
      <c r="X253" s="19">
        <f t="shared" si="35"/>
        <v>1</v>
      </c>
      <c r="Y253" s="37"/>
    </row>
    <row r="254" spans="1:25" x14ac:dyDescent="0.35">
      <c r="A254" t="s">
        <v>661</v>
      </c>
      <c r="B254" s="66" t="s">
        <v>1219</v>
      </c>
      <c r="C254" s="67" t="s">
        <v>1136</v>
      </c>
      <c r="D254" s="68" t="s">
        <v>1183</v>
      </c>
      <c r="E254" s="60">
        <v>458</v>
      </c>
      <c r="F254" s="60">
        <v>5343.7</v>
      </c>
      <c r="G254" s="34">
        <f>IFERROR((F254/E254),0)</f>
        <v>11.667467248908297</v>
      </c>
      <c r="H254" s="1">
        <v>0</v>
      </c>
      <c r="I254" s="1">
        <v>0</v>
      </c>
      <c r="J254" s="64">
        <f>IFERROR((I254/H254),0)</f>
        <v>0</v>
      </c>
      <c r="K254" s="90">
        <f>I254-F254</f>
        <v>-5343.7</v>
      </c>
      <c r="L254" s="90">
        <f>(H254-E254)/1000</f>
        <v>-0.45800000000000002</v>
      </c>
      <c r="M254" s="55" t="s">
        <v>845</v>
      </c>
      <c r="O254" s="19">
        <f>K254/F254</f>
        <v>-1</v>
      </c>
      <c r="P254" s="19">
        <f>L254/(E254/1000)</f>
        <v>-1</v>
      </c>
      <c r="R254" s="20" t="s">
        <v>1288</v>
      </c>
      <c r="T254">
        <v>28940</v>
      </c>
      <c r="U254">
        <v>291963</v>
      </c>
      <c r="V254" s="18">
        <f t="shared" si="33"/>
        <v>10.088562543192813</v>
      </c>
      <c r="W254" s="4">
        <f t="shared" si="34"/>
        <v>-286619.3</v>
      </c>
      <c r="X254" s="19">
        <f t="shared" si="35"/>
        <v>-53.636862099294497</v>
      </c>
      <c r="Y254" s="37"/>
    </row>
    <row r="255" spans="1:25" x14ac:dyDescent="0.35">
      <c r="A255" t="s">
        <v>666</v>
      </c>
      <c r="B255" s="66" t="s">
        <v>1595</v>
      </c>
      <c r="C255" s="67" t="s">
        <v>1535</v>
      </c>
      <c r="D255" s="68" t="s">
        <v>1587</v>
      </c>
      <c r="E255" s="60">
        <v>654</v>
      </c>
      <c r="F255" s="60">
        <v>5614</v>
      </c>
      <c r="G255" s="34">
        <f>IFERROR((F255/E255),0)</f>
        <v>8.5840978593272173</v>
      </c>
      <c r="H255" s="1">
        <v>0</v>
      </c>
      <c r="I255" s="1">
        <v>0</v>
      </c>
      <c r="J255" s="64">
        <f>IFERROR((I255/H255),0)</f>
        <v>0</v>
      </c>
      <c r="K255" s="90">
        <f>I255-F255</f>
        <v>-5614</v>
      </c>
      <c r="L255" s="90">
        <f>(H255-E255)/1000</f>
        <v>-0.65400000000000003</v>
      </c>
      <c r="M255" s="55" t="s">
        <v>845</v>
      </c>
      <c r="O255" s="19">
        <f>K255/F255</f>
        <v>-1</v>
      </c>
      <c r="P255" s="19">
        <f>L255/(E255/1000)</f>
        <v>-1</v>
      </c>
      <c r="R255" s="20" t="s">
        <v>1315</v>
      </c>
      <c r="T255">
        <v>683</v>
      </c>
      <c r="U255">
        <v>8214</v>
      </c>
      <c r="V255" s="18">
        <f t="shared" si="33"/>
        <v>12.026354319180088</v>
      </c>
      <c r="W255" s="4">
        <f t="shared" si="34"/>
        <v>-2600</v>
      </c>
      <c r="X255" s="19">
        <f t="shared" si="35"/>
        <v>-0.46312789454934095</v>
      </c>
      <c r="Y255" s="37"/>
    </row>
    <row r="256" spans="1:25" x14ac:dyDescent="0.35">
      <c r="A256" t="s">
        <v>1460</v>
      </c>
      <c r="B256" s="66" t="s">
        <v>1595</v>
      </c>
      <c r="C256" s="67" t="s">
        <v>1532</v>
      </c>
      <c r="D256" s="68" t="s">
        <v>1583</v>
      </c>
      <c r="E256" s="60">
        <v>592</v>
      </c>
      <c r="F256" s="60">
        <v>5681.74</v>
      </c>
      <c r="G256" s="34">
        <f>IFERROR((F256/E256),0)</f>
        <v>9.5975337837837831</v>
      </c>
      <c r="H256" s="1">
        <v>0</v>
      </c>
      <c r="I256" s="1">
        <v>0</v>
      </c>
      <c r="J256" s="64">
        <f>IFERROR((I256/H256),0)</f>
        <v>0</v>
      </c>
      <c r="K256" s="90">
        <f>I256-F256</f>
        <v>-5681.74</v>
      </c>
      <c r="L256" s="90">
        <f>(H256-E256)/1000</f>
        <v>-0.59199999999999997</v>
      </c>
      <c r="M256" s="55" t="s">
        <v>845</v>
      </c>
      <c r="O256" s="19">
        <f>K256/F256</f>
        <v>-1</v>
      </c>
      <c r="P256" s="19">
        <f>L256/(E256/1000)</f>
        <v>-1</v>
      </c>
      <c r="R256" s="20" t="s">
        <v>1300</v>
      </c>
      <c r="T256">
        <v>0</v>
      </c>
      <c r="U256">
        <v>0</v>
      </c>
      <c r="V256" s="18">
        <f t="shared" si="33"/>
        <v>0</v>
      </c>
      <c r="W256" s="4">
        <f t="shared" si="34"/>
        <v>5681.74</v>
      </c>
      <c r="X256" s="19">
        <f t="shared" si="35"/>
        <v>1</v>
      </c>
      <c r="Y256" s="37"/>
    </row>
    <row r="257" spans="1:25" x14ac:dyDescent="0.35">
      <c r="A257" t="s">
        <v>1462</v>
      </c>
      <c r="B257" s="66" t="s">
        <v>1595</v>
      </c>
      <c r="C257" s="67" t="s">
        <v>1514</v>
      </c>
      <c r="D257" s="68" t="s">
        <v>1565</v>
      </c>
      <c r="E257" s="60">
        <v>4483</v>
      </c>
      <c r="F257" s="60">
        <v>53326.76</v>
      </c>
      <c r="G257" s="34">
        <f>IFERROR((F257/E257),0)</f>
        <v>11.895329020745038</v>
      </c>
      <c r="H257" s="1">
        <v>4584</v>
      </c>
      <c r="I257" s="1">
        <v>47511</v>
      </c>
      <c r="J257" s="64">
        <f>IFERROR((I257/H257),0)</f>
        <v>10.364528795811518</v>
      </c>
      <c r="K257" s="90">
        <f>I257-F257</f>
        <v>-5815.760000000002</v>
      </c>
      <c r="L257" s="90">
        <f>(H257-E257)/1000</f>
        <v>0.10100000000000001</v>
      </c>
      <c r="M257" s="55" t="s">
        <v>1061</v>
      </c>
      <c r="O257" s="19">
        <f>K257/F257</f>
        <v>-0.10905894151454171</v>
      </c>
      <c r="P257" s="19">
        <f>L257/(E257/1000)</f>
        <v>2.2529556100825344E-2</v>
      </c>
      <c r="R257" s="20" t="s">
        <v>1302</v>
      </c>
      <c r="T257">
        <v>0</v>
      </c>
      <c r="U257">
        <v>0</v>
      </c>
      <c r="V257" s="18">
        <f t="shared" si="33"/>
        <v>0</v>
      </c>
      <c r="W257" s="4">
        <f t="shared" si="34"/>
        <v>53326.76</v>
      </c>
      <c r="X257" s="19">
        <f t="shared" si="35"/>
        <v>1</v>
      </c>
      <c r="Y257" s="37"/>
    </row>
    <row r="258" spans="1:25" x14ac:dyDescent="0.35">
      <c r="A258" t="s">
        <v>587</v>
      </c>
      <c r="B258" s="66" t="s">
        <v>976</v>
      </c>
      <c r="C258" s="67" t="s">
        <v>936</v>
      </c>
      <c r="D258" s="68" t="s">
        <v>937</v>
      </c>
      <c r="E258" s="60">
        <v>203</v>
      </c>
      <c r="F258" s="60">
        <v>5903.78</v>
      </c>
      <c r="G258" s="34">
        <f>IFERROR((F258/E258),0)</f>
        <v>29.082660098522165</v>
      </c>
      <c r="H258" s="1">
        <v>0</v>
      </c>
      <c r="I258" s="1">
        <v>0</v>
      </c>
      <c r="J258" s="64">
        <f>IFERROR((I258/H258),0)</f>
        <v>0</v>
      </c>
      <c r="K258" s="90">
        <f>I258-F258</f>
        <v>-5903.78</v>
      </c>
      <c r="L258" s="90">
        <f>(H258-E258)/1000</f>
        <v>-0.20300000000000001</v>
      </c>
      <c r="M258" s="55" t="s">
        <v>845</v>
      </c>
      <c r="O258" s="19">
        <f>K258/F258</f>
        <v>-1</v>
      </c>
      <c r="P258" s="19">
        <f>L258/(E258/1000)</f>
        <v>-1</v>
      </c>
      <c r="R258" s="20" t="s">
        <v>1601</v>
      </c>
      <c r="T258">
        <v>4586</v>
      </c>
      <c r="U258">
        <v>60147</v>
      </c>
      <c r="V258" s="18">
        <f t="shared" si="33"/>
        <v>13.115351068469254</v>
      </c>
      <c r="W258" s="4">
        <f t="shared" si="34"/>
        <v>-54243.22</v>
      </c>
      <c r="X258" s="19">
        <f t="shared" si="35"/>
        <v>-9.1878796296609977</v>
      </c>
      <c r="Y258" s="37"/>
    </row>
    <row r="259" spans="1:25" x14ac:dyDescent="0.35">
      <c r="A259" t="s">
        <v>472</v>
      </c>
      <c r="B259" s="66" t="s">
        <v>1394</v>
      </c>
      <c r="C259" s="67" t="s">
        <v>1447</v>
      </c>
      <c r="D259" s="68" t="s">
        <v>1365</v>
      </c>
      <c r="E259" s="60">
        <v>1047</v>
      </c>
      <c r="F259" s="60">
        <v>15374.89</v>
      </c>
      <c r="G259" s="34">
        <f>IFERROR((F259/E259),0)</f>
        <v>14.684708691499521</v>
      </c>
      <c r="H259" s="1">
        <v>852</v>
      </c>
      <c r="I259" s="1">
        <v>9374</v>
      </c>
      <c r="J259" s="64">
        <f>IFERROR((I259/H259),0)</f>
        <v>11.002347417840376</v>
      </c>
      <c r="K259" s="90">
        <f>I259-F259</f>
        <v>-6000.8899999999994</v>
      </c>
      <c r="L259" s="90">
        <f>(H259-E259)/1000</f>
        <v>-0.19500000000000001</v>
      </c>
      <c r="M259" s="55" t="s">
        <v>1061</v>
      </c>
      <c r="O259" s="19">
        <f>K259/F259</f>
        <v>-0.39030458104090499</v>
      </c>
      <c r="P259" s="19">
        <f>L259/(E259/1000)</f>
        <v>-0.1862464183381089</v>
      </c>
      <c r="R259" s="20" t="s">
        <v>1310</v>
      </c>
      <c r="T259">
        <v>13657</v>
      </c>
      <c r="U259">
        <v>117685</v>
      </c>
      <c r="V259" s="18">
        <f t="shared" si="33"/>
        <v>8.6171926484586656</v>
      </c>
      <c r="W259" s="4">
        <f t="shared" si="34"/>
        <v>-102310.11</v>
      </c>
      <c r="X259" s="19">
        <f t="shared" si="35"/>
        <v>-6.6543637060167589</v>
      </c>
      <c r="Y259" s="37" t="s">
        <v>1277</v>
      </c>
    </row>
    <row r="260" spans="1:25" x14ac:dyDescent="0.35">
      <c r="A260" t="s">
        <v>772</v>
      </c>
      <c r="B260" s="66" t="s">
        <v>1219</v>
      </c>
      <c r="C260" s="67" t="s">
        <v>1101</v>
      </c>
      <c r="D260" s="68" t="s">
        <v>1185</v>
      </c>
      <c r="E260" s="60">
        <v>775</v>
      </c>
      <c r="F260" s="60">
        <v>8902.3739999999998</v>
      </c>
      <c r="G260" s="34">
        <f>IFERROR((F260/E260),0)</f>
        <v>11.486934193548386</v>
      </c>
      <c r="H260" s="1">
        <v>125</v>
      </c>
      <c r="I260" s="1">
        <v>2813</v>
      </c>
      <c r="J260" s="64">
        <f>IFERROR((I260/H260),0)</f>
        <v>22.504000000000001</v>
      </c>
      <c r="K260" s="90">
        <f>I260-F260</f>
        <v>-6089.3739999999998</v>
      </c>
      <c r="L260" s="90">
        <f>(H260-E260)/1000</f>
        <v>-0.65</v>
      </c>
      <c r="M260" s="55" t="s">
        <v>1061</v>
      </c>
      <c r="O260" s="19">
        <f>K260/F260</f>
        <v>-0.68401687010678269</v>
      </c>
      <c r="P260" s="19">
        <f>L260/(E260/1000)</f>
        <v>-0.83870967741935487</v>
      </c>
      <c r="R260" s="20" t="s">
        <v>1310</v>
      </c>
      <c r="T260">
        <v>21208</v>
      </c>
      <c r="U260">
        <v>323298</v>
      </c>
      <c r="V260" s="18">
        <f t="shared" si="33"/>
        <v>15.24415314975481</v>
      </c>
      <c r="W260" s="4">
        <f t="shared" si="34"/>
        <v>-314395.62599999999</v>
      </c>
      <c r="X260" s="19">
        <f t="shared" si="35"/>
        <v>-35.315931008964576</v>
      </c>
      <c r="Y260" s="37"/>
    </row>
    <row r="261" spans="1:25" x14ac:dyDescent="0.35">
      <c r="A261" t="s">
        <v>637</v>
      </c>
      <c r="B261" s="66" t="s">
        <v>814</v>
      </c>
      <c r="C261" s="67" t="s">
        <v>1414</v>
      </c>
      <c r="D261" s="68" t="s">
        <v>1415</v>
      </c>
      <c r="E261" s="60">
        <v>6957</v>
      </c>
      <c r="F261" s="60">
        <v>70421.98</v>
      </c>
      <c r="G261" s="34">
        <f>IFERROR((F261/E261),0)</f>
        <v>10.122463705620238</v>
      </c>
      <c r="H261" s="1">
        <v>6285</v>
      </c>
      <c r="I261" s="1">
        <v>64290</v>
      </c>
      <c r="J261" s="64">
        <f>IFERROR((I261/H261),0)</f>
        <v>10.229116945107398</v>
      </c>
      <c r="K261" s="90">
        <f>I261-F261</f>
        <v>-6131.9799999999959</v>
      </c>
      <c r="L261" s="90">
        <f>(H261-E261)/1000</f>
        <v>-0.67200000000000004</v>
      </c>
      <c r="M261" s="55" t="s">
        <v>1061</v>
      </c>
      <c r="O261" s="19">
        <f>K261/F261</f>
        <v>-8.707480249774284E-2</v>
      </c>
      <c r="P261" s="19">
        <f>L261/(E261/1000)</f>
        <v>-9.6593359206554555E-2</v>
      </c>
      <c r="R261" s="20" t="s">
        <v>1062</v>
      </c>
      <c r="T261">
        <v>0</v>
      </c>
      <c r="U261">
        <v>0</v>
      </c>
      <c r="V261" s="18">
        <f t="shared" si="33"/>
        <v>0</v>
      </c>
      <c r="W261" s="4">
        <f t="shared" si="34"/>
        <v>70421.98</v>
      </c>
      <c r="X261" s="19">
        <f t="shared" si="35"/>
        <v>1</v>
      </c>
      <c r="Y261" s="37"/>
    </row>
    <row r="262" spans="1:25" x14ac:dyDescent="0.35">
      <c r="A262" t="s">
        <v>948</v>
      </c>
      <c r="B262" s="66" t="s">
        <v>1061</v>
      </c>
      <c r="C262" s="67" t="s">
        <v>771</v>
      </c>
      <c r="D262" s="68" t="s">
        <v>1542</v>
      </c>
      <c r="E262" s="60">
        <v>252</v>
      </c>
      <c r="F262" s="60">
        <v>8674.8950000000004</v>
      </c>
      <c r="G262" s="34">
        <f>IFERROR((F262/E262),0)</f>
        <v>34.424186507936511</v>
      </c>
      <c r="H262" s="1">
        <v>76</v>
      </c>
      <c r="I262" s="1">
        <v>2497</v>
      </c>
      <c r="J262" s="64">
        <f>IFERROR((I262/H262),0)</f>
        <v>32.85526315789474</v>
      </c>
      <c r="K262" s="90">
        <f>I262-F262</f>
        <v>-6177.8950000000004</v>
      </c>
      <c r="L262" s="90">
        <f>(H262-E262)/1000</f>
        <v>-0.17599999999999999</v>
      </c>
      <c r="M262" s="55" t="s">
        <v>1277</v>
      </c>
      <c r="O262" s="19">
        <f>K262/F262</f>
        <v>-0.71215789931751339</v>
      </c>
      <c r="P262" s="19">
        <f>L262/(E262/1000)</f>
        <v>-0.69841269841269837</v>
      </c>
      <c r="R262" s="20" t="s">
        <v>1287</v>
      </c>
      <c r="T262">
        <v>0</v>
      </c>
      <c r="U262">
        <v>0</v>
      </c>
      <c r="V262" s="18">
        <f t="shared" si="33"/>
        <v>0</v>
      </c>
      <c r="W262" s="4">
        <f t="shared" si="34"/>
        <v>8674.8950000000004</v>
      </c>
      <c r="X262" s="19">
        <f t="shared" si="35"/>
        <v>1</v>
      </c>
      <c r="Y262" s="37"/>
    </row>
    <row r="263" spans="1:25" x14ac:dyDescent="0.35">
      <c r="A263" t="s">
        <v>683</v>
      </c>
      <c r="B263" s="66" t="s">
        <v>828</v>
      </c>
      <c r="C263" s="67" t="s">
        <v>730</v>
      </c>
      <c r="D263" s="68" t="s">
        <v>303</v>
      </c>
      <c r="E263" s="59">
        <v>10527</v>
      </c>
      <c r="F263" s="59">
        <v>136976.4</v>
      </c>
      <c r="G263" s="34">
        <f>IFERROR((F263/E263),0)</f>
        <v>13.011912225705329</v>
      </c>
      <c r="H263" s="1">
        <v>7640</v>
      </c>
      <c r="I263" s="1">
        <v>130514</v>
      </c>
      <c r="J263" s="64">
        <f>IFERROR((I263/H263),0)</f>
        <v>17.082984293193718</v>
      </c>
      <c r="K263" s="90">
        <f>I263-F263</f>
        <v>-6462.3999999999942</v>
      </c>
      <c r="L263" s="90">
        <f>(H263-E263)/1000</f>
        <v>-2.887</v>
      </c>
      <c r="M263" s="55" t="s">
        <v>1061</v>
      </c>
      <c r="O263" s="19">
        <f>K263/F263</f>
        <v>-4.717893009306709E-2</v>
      </c>
      <c r="P263" s="19">
        <f>L263/(E263/1000)</f>
        <v>-0.27424717393369435</v>
      </c>
      <c r="R263" s="20" t="s">
        <v>1601</v>
      </c>
      <c r="T263">
        <v>7857</v>
      </c>
      <c r="U263">
        <v>164181</v>
      </c>
      <c r="V263" s="18">
        <f t="shared" si="33"/>
        <v>20.896143566246661</v>
      </c>
      <c r="W263" s="4">
        <f t="shared" si="34"/>
        <v>-27204.600000000006</v>
      </c>
      <c r="X263" s="19">
        <f t="shared" si="35"/>
        <v>-0.19860793538156943</v>
      </c>
      <c r="Y263" s="37"/>
    </row>
    <row r="264" spans="1:25" x14ac:dyDescent="0.35">
      <c r="A264" t="s">
        <v>1133</v>
      </c>
      <c r="B264" s="66" t="s">
        <v>1394</v>
      </c>
      <c r="C264" s="67" t="s">
        <v>1459</v>
      </c>
      <c r="D264" s="68" t="s">
        <v>1376</v>
      </c>
      <c r="E264" s="60">
        <v>210</v>
      </c>
      <c r="F264" s="60">
        <v>7489.54</v>
      </c>
      <c r="G264" s="34">
        <f>IFERROR((F264/E264),0)</f>
        <v>35.664476190476194</v>
      </c>
      <c r="H264" s="1">
        <v>0</v>
      </c>
      <c r="I264" s="1">
        <v>0</v>
      </c>
      <c r="J264" s="64">
        <f>IFERROR((I264/H264),0)</f>
        <v>0</v>
      </c>
      <c r="K264" s="90">
        <f>I264-F264</f>
        <v>-7489.54</v>
      </c>
      <c r="L264" s="90">
        <f>(H264-E264)/1000</f>
        <v>-0.21</v>
      </c>
      <c r="M264" s="55" t="s">
        <v>845</v>
      </c>
      <c r="O264" s="19">
        <f>K264/F264</f>
        <v>-1</v>
      </c>
      <c r="P264" s="19">
        <f>L264/(E264/1000)</f>
        <v>-1</v>
      </c>
      <c r="R264" s="20" t="s">
        <v>1289</v>
      </c>
      <c r="T264">
        <v>41251</v>
      </c>
      <c r="U264">
        <v>606672</v>
      </c>
      <c r="V264" s="18">
        <f t="shared" si="33"/>
        <v>14.706843470461322</v>
      </c>
      <c r="W264" s="4">
        <f t="shared" si="34"/>
        <v>-599182.46</v>
      </c>
      <c r="X264" s="19">
        <f t="shared" si="35"/>
        <v>-80.002571586505979</v>
      </c>
      <c r="Y264" s="37" t="s">
        <v>1066</v>
      </c>
    </row>
    <row r="265" spans="1:25" x14ac:dyDescent="0.35">
      <c r="A265" t="s">
        <v>1135</v>
      </c>
      <c r="B265" s="66" t="s">
        <v>1061</v>
      </c>
      <c r="C265" s="67" t="s">
        <v>396</v>
      </c>
      <c r="D265" s="68" t="s">
        <v>9</v>
      </c>
      <c r="E265" s="60">
        <v>40</v>
      </c>
      <c r="F265" s="60">
        <v>7548</v>
      </c>
      <c r="G265" s="34">
        <f>IFERROR((F265/E265),0)</f>
        <v>188.7</v>
      </c>
      <c r="H265" s="1">
        <v>0</v>
      </c>
      <c r="I265" s="1">
        <v>0</v>
      </c>
      <c r="J265" s="64">
        <f>IFERROR((I265/H265),0)</f>
        <v>0</v>
      </c>
      <c r="K265" s="90">
        <f>I265-F265</f>
        <v>-7548</v>
      </c>
      <c r="L265" s="90">
        <f>(H265-E265)/1000</f>
        <v>-0.04</v>
      </c>
      <c r="M265" s="55" t="s">
        <v>845</v>
      </c>
      <c r="O265" s="19">
        <f>K265/F265</f>
        <v>-1</v>
      </c>
      <c r="P265" s="19">
        <f>L265/(E265/1000)</f>
        <v>-1</v>
      </c>
      <c r="R265" s="20" t="s">
        <v>1604</v>
      </c>
      <c r="T265">
        <v>0</v>
      </c>
      <c r="U265">
        <v>0</v>
      </c>
      <c r="V265" s="18">
        <f t="shared" si="33"/>
        <v>0</v>
      </c>
      <c r="W265" s="4">
        <f t="shared" si="34"/>
        <v>7548</v>
      </c>
      <c r="X265" s="19">
        <f t="shared" si="35"/>
        <v>1</v>
      </c>
      <c r="Y265" s="37"/>
    </row>
    <row r="266" spans="1:25" x14ac:dyDescent="0.35">
      <c r="A266" t="s">
        <v>561</v>
      </c>
      <c r="B266" s="66" t="s">
        <v>837</v>
      </c>
      <c r="C266" s="67" t="s">
        <v>760</v>
      </c>
      <c r="D266" s="68" t="s">
        <v>361</v>
      </c>
      <c r="E266" s="59">
        <v>783</v>
      </c>
      <c r="F266" s="59">
        <v>22079.57</v>
      </c>
      <c r="G266" s="34">
        <f>IFERROR((F266/E266),0)</f>
        <v>28.198684546615581</v>
      </c>
      <c r="H266" s="1">
        <v>512</v>
      </c>
      <c r="I266" s="1">
        <v>14421</v>
      </c>
      <c r="J266" s="64">
        <f>IFERROR((I266/H266),0)</f>
        <v>28.166015625</v>
      </c>
      <c r="K266" s="90">
        <f>I266-F266</f>
        <v>-7658.57</v>
      </c>
      <c r="L266" s="90">
        <f>(H266-E266)/1000</f>
        <v>-0.27100000000000002</v>
      </c>
      <c r="M266" s="55" t="s">
        <v>1061</v>
      </c>
      <c r="O266" s="19">
        <f>K266/F266</f>
        <v>-0.34686228037955447</v>
      </c>
      <c r="P266" s="19">
        <f>L266/(E266/1000)</f>
        <v>-0.34610472541507026</v>
      </c>
      <c r="R266" s="20" t="s">
        <v>1288</v>
      </c>
      <c r="T266">
        <v>0</v>
      </c>
      <c r="U266">
        <v>0</v>
      </c>
      <c r="V266" s="18">
        <f t="shared" si="33"/>
        <v>0</v>
      </c>
      <c r="W266" s="4">
        <f t="shared" si="34"/>
        <v>22079.57</v>
      </c>
      <c r="X266" s="19">
        <f t="shared" si="35"/>
        <v>1</v>
      </c>
      <c r="Y266" s="37"/>
    </row>
    <row r="267" spans="1:25" x14ac:dyDescent="0.35">
      <c r="A267" t="s">
        <v>1463</v>
      </c>
      <c r="B267" s="66" t="s">
        <v>821</v>
      </c>
      <c r="C267" s="67" t="s">
        <v>636</v>
      </c>
      <c r="D267" s="68" t="s">
        <v>31</v>
      </c>
      <c r="E267" s="60">
        <v>12877</v>
      </c>
      <c r="F267" s="60">
        <v>161004</v>
      </c>
      <c r="G267" s="34">
        <f>IFERROR((F267/E267),0)</f>
        <v>12.503222800341694</v>
      </c>
      <c r="H267" s="1">
        <v>10632</v>
      </c>
      <c r="I267" s="1">
        <v>153290</v>
      </c>
      <c r="J267" s="64">
        <f>IFERROR((I267/H267),0)</f>
        <v>14.417795334838225</v>
      </c>
      <c r="K267" s="90">
        <f>I267-F267</f>
        <v>-7714</v>
      </c>
      <c r="L267" s="90">
        <f>(H267-E267)/1000</f>
        <v>-2.2450000000000001</v>
      </c>
      <c r="M267" s="55" t="s">
        <v>1061</v>
      </c>
      <c r="O267" s="19">
        <f>K267/F267</f>
        <v>-4.7911853121661574E-2</v>
      </c>
      <c r="P267" s="19">
        <f>L267/(E267/1000)</f>
        <v>-0.1743418498097383</v>
      </c>
      <c r="R267" s="20" t="s">
        <v>1601</v>
      </c>
      <c r="T267">
        <v>7683</v>
      </c>
      <c r="U267">
        <v>147999</v>
      </c>
      <c r="V267" s="18">
        <f t="shared" si="33"/>
        <v>19.263178445919564</v>
      </c>
      <c r="W267" s="4">
        <f t="shared" si="34"/>
        <v>13005</v>
      </c>
      <c r="X267" s="19">
        <f t="shared" si="35"/>
        <v>8.077439069836774E-2</v>
      </c>
      <c r="Y267" s="37" t="s">
        <v>1277</v>
      </c>
    </row>
    <row r="268" spans="1:25" x14ac:dyDescent="0.35">
      <c r="A268" t="s">
        <v>1094</v>
      </c>
      <c r="B268" s="66" t="s">
        <v>837</v>
      </c>
      <c r="C268" s="67" t="s">
        <v>759</v>
      </c>
      <c r="D268" s="68" t="s">
        <v>360</v>
      </c>
      <c r="E268" s="60">
        <v>12722</v>
      </c>
      <c r="F268" s="60">
        <v>145796.4</v>
      </c>
      <c r="G268" s="34">
        <f>IFERROR((F268/E268),0)</f>
        <v>11.460179217104228</v>
      </c>
      <c r="H268" s="1">
        <v>12074</v>
      </c>
      <c r="I268" s="1">
        <v>137955</v>
      </c>
      <c r="J268" s="64">
        <f>IFERROR((I268/H268),0)</f>
        <v>11.425790955772735</v>
      </c>
      <c r="K268" s="90">
        <f>I268-F268</f>
        <v>-7841.3999999999942</v>
      </c>
      <c r="L268" s="90">
        <f>(H268-E268)/1000</f>
        <v>-0.64800000000000002</v>
      </c>
      <c r="M268" s="55" t="s">
        <v>1061</v>
      </c>
      <c r="O268" s="19">
        <f>K268/F268</f>
        <v>-5.3783220984880246E-2</v>
      </c>
      <c r="P268" s="19">
        <f>L268/(E268/1000)</f>
        <v>-5.09353875176859E-2</v>
      </c>
      <c r="R268" s="20" t="s">
        <v>1301</v>
      </c>
      <c r="T268">
        <v>2510</v>
      </c>
      <c r="U268">
        <v>22848</v>
      </c>
      <c r="V268" s="18">
        <f t="shared" si="33"/>
        <v>9.1027888446215144</v>
      </c>
      <c r="W268" s="4">
        <f t="shared" si="34"/>
        <v>122948.4</v>
      </c>
      <c r="X268" s="19">
        <f t="shared" si="35"/>
        <v>0.84328831164555507</v>
      </c>
      <c r="Y268" s="37"/>
    </row>
    <row r="269" spans="1:25" x14ac:dyDescent="0.35">
      <c r="A269" t="s">
        <v>1464</v>
      </c>
      <c r="B269" s="66" t="s">
        <v>810</v>
      </c>
      <c r="C269" s="67" t="s">
        <v>669</v>
      </c>
      <c r="D269" s="68" t="s">
        <v>87</v>
      </c>
      <c r="E269" s="60">
        <v>232</v>
      </c>
      <c r="F269" s="60">
        <v>8052</v>
      </c>
      <c r="G269" s="56">
        <f>IFERROR((F269/E269),0)</f>
        <v>34.706896551724135</v>
      </c>
      <c r="H269" s="1">
        <v>0</v>
      </c>
      <c r="I269" s="1">
        <v>0</v>
      </c>
      <c r="J269" s="64">
        <f>IFERROR((I269/H269),0)</f>
        <v>0</v>
      </c>
      <c r="K269" s="90">
        <f>I269-F269</f>
        <v>-8052</v>
      </c>
      <c r="L269" s="90">
        <f>(H269-E269)/1000</f>
        <v>-0.23200000000000001</v>
      </c>
      <c r="M269" s="55" t="s">
        <v>845</v>
      </c>
      <c r="O269" s="19">
        <f>K269/F269</f>
        <v>-1</v>
      </c>
      <c r="P269" s="19">
        <f>L269/(E269/1000)</f>
        <v>-1</v>
      </c>
      <c r="R269" s="20" t="s">
        <v>1603</v>
      </c>
      <c r="W269" s="61"/>
      <c r="Y269" s="55"/>
    </row>
    <row r="270" spans="1:25" x14ac:dyDescent="0.35">
      <c r="A270" t="s">
        <v>1465</v>
      </c>
      <c r="B270" s="66" t="s">
        <v>1061</v>
      </c>
      <c r="C270" s="67" t="s">
        <v>764</v>
      </c>
      <c r="D270" s="68" t="s">
        <v>365</v>
      </c>
      <c r="E270" s="59">
        <v>820</v>
      </c>
      <c r="F270" s="60">
        <v>11718.14</v>
      </c>
      <c r="G270" s="56">
        <f>IFERROR((F270/E270),0)</f>
        <v>14.290414634146341</v>
      </c>
      <c r="H270" s="1">
        <v>274</v>
      </c>
      <c r="I270" s="1">
        <v>3522</v>
      </c>
      <c r="J270" s="64">
        <f>IFERROR((I270/H270),0)</f>
        <v>12.854014598540147</v>
      </c>
      <c r="K270" s="90">
        <f>I270-F270</f>
        <v>-8196.14</v>
      </c>
      <c r="L270" s="90">
        <f>(H270-E270)/1000</f>
        <v>-0.54600000000000004</v>
      </c>
      <c r="M270" s="55" t="s">
        <v>1061</v>
      </c>
      <c r="O270" s="19">
        <f>K270/F270</f>
        <v>-0.69944035486860545</v>
      </c>
      <c r="P270" s="19">
        <f>L270/(E270/1000)</f>
        <v>-0.6658536585365854</v>
      </c>
      <c r="R270" s="20" t="s">
        <v>1601</v>
      </c>
      <c r="T270">
        <v>0</v>
      </c>
      <c r="U270">
        <v>0</v>
      </c>
      <c r="V270" s="18">
        <f t="shared" ref="V270:V296" si="36">IFERROR((U270/T270),0)</f>
        <v>0</v>
      </c>
      <c r="W270" s="4">
        <f t="shared" ref="W270:W296" si="37">F270-U270</f>
        <v>11718.14</v>
      </c>
      <c r="X270" s="19">
        <f t="shared" ref="X270:X296" si="38">W270/F270</f>
        <v>1</v>
      </c>
      <c r="Y270" s="37"/>
    </row>
    <row r="271" spans="1:25" x14ac:dyDescent="0.35">
      <c r="A271" t="s">
        <v>1114</v>
      </c>
      <c r="B271" s="66" t="s">
        <v>1595</v>
      </c>
      <c r="C271" s="67" t="s">
        <v>1506</v>
      </c>
      <c r="D271" s="68" t="s">
        <v>1558</v>
      </c>
      <c r="E271" s="60">
        <v>1809</v>
      </c>
      <c r="F271" s="60">
        <v>24443.48</v>
      </c>
      <c r="G271" s="34">
        <f>IFERROR((F271/E271),0)</f>
        <v>13.512150359314537</v>
      </c>
      <c r="H271" s="1">
        <v>1046</v>
      </c>
      <c r="I271" s="1">
        <v>16214</v>
      </c>
      <c r="J271" s="64">
        <f>IFERROR((I271/H271),0)</f>
        <v>15.500956022944552</v>
      </c>
      <c r="K271" s="90">
        <f>I271-F271</f>
        <v>-8229.48</v>
      </c>
      <c r="L271" s="90">
        <f>(H271-E271)/1000</f>
        <v>-0.76300000000000001</v>
      </c>
      <c r="M271" s="55" t="s">
        <v>1061</v>
      </c>
      <c r="O271" s="19">
        <f>K271/F271</f>
        <v>-0.33667382876742591</v>
      </c>
      <c r="P271" s="19">
        <f>L271/(E271/1000)</f>
        <v>-0.42177998894416807</v>
      </c>
      <c r="R271" s="20" t="s">
        <v>1303</v>
      </c>
      <c r="T271">
        <v>160436</v>
      </c>
      <c r="U271">
        <v>1497477</v>
      </c>
      <c r="V271" s="18">
        <f t="shared" si="36"/>
        <v>9.3337966541175295</v>
      </c>
      <c r="W271" s="4">
        <f t="shared" si="37"/>
        <v>-1473033.52</v>
      </c>
      <c r="X271" s="19">
        <f t="shared" si="38"/>
        <v>-60.26283982477127</v>
      </c>
      <c r="Y271" s="37" t="s">
        <v>1066</v>
      </c>
    </row>
    <row r="272" spans="1:25" x14ac:dyDescent="0.35">
      <c r="A272" t="s">
        <v>532</v>
      </c>
      <c r="B272" s="66" t="s">
        <v>1061</v>
      </c>
      <c r="C272" s="67" t="s">
        <v>675</v>
      </c>
      <c r="D272" s="68" t="s">
        <v>104</v>
      </c>
      <c r="E272" s="60">
        <v>9076</v>
      </c>
      <c r="F272" s="60">
        <v>173228.4</v>
      </c>
      <c r="G272" s="34">
        <f>IFERROR((F272/E272),0)</f>
        <v>19.086425738210664</v>
      </c>
      <c r="H272" s="1">
        <v>7713</v>
      </c>
      <c r="I272" s="1">
        <v>164659</v>
      </c>
      <c r="J272" s="64">
        <f>IFERROR((I272/H272),0)</f>
        <v>21.348243225722804</v>
      </c>
      <c r="K272" s="90">
        <f>I272-F272</f>
        <v>-8569.3999999999942</v>
      </c>
      <c r="L272" s="90">
        <f>(H272-E272)/1000</f>
        <v>-1.363</v>
      </c>
      <c r="M272" s="55" t="s">
        <v>1061</v>
      </c>
      <c r="O272" s="19">
        <f>K272/F272</f>
        <v>-4.9468793800554613E-2</v>
      </c>
      <c r="P272" s="19">
        <f>L272/(E272/1000)</f>
        <v>-0.15017628911414718</v>
      </c>
      <c r="R272" s="20" t="s">
        <v>1298</v>
      </c>
      <c r="T272">
        <v>2741</v>
      </c>
      <c r="U272">
        <v>25275</v>
      </c>
      <c r="V272" s="18">
        <f t="shared" si="36"/>
        <v>9.2210871944545794</v>
      </c>
      <c r="W272" s="4">
        <f t="shared" si="37"/>
        <v>147953.4</v>
      </c>
      <c r="X272" s="19">
        <f t="shared" si="38"/>
        <v>0.85409436327992405</v>
      </c>
      <c r="Y272" s="37"/>
    </row>
    <row r="273" spans="1:25" x14ac:dyDescent="0.35">
      <c r="A273" t="s">
        <v>567</v>
      </c>
      <c r="B273" s="66" t="s">
        <v>813</v>
      </c>
      <c r="C273" s="67" t="s">
        <v>466</v>
      </c>
      <c r="D273" s="68" t="s">
        <v>121</v>
      </c>
      <c r="E273" s="60">
        <v>3044</v>
      </c>
      <c r="F273" s="60">
        <v>170956.5</v>
      </c>
      <c r="G273" s="56">
        <f>IFERROR((F273/E273),0)</f>
        <v>56.161793692509853</v>
      </c>
      <c r="H273" s="1">
        <v>3846</v>
      </c>
      <c r="I273" s="1">
        <v>161201</v>
      </c>
      <c r="J273" s="64">
        <f>IFERROR((I273/H273),0)</f>
        <v>41.9139365574623</v>
      </c>
      <c r="K273" s="90">
        <f>I273-F273</f>
        <v>-9755.5</v>
      </c>
      <c r="L273" s="90">
        <f>(H273-E273)/1000</f>
        <v>0.80200000000000005</v>
      </c>
      <c r="M273" s="55" t="s">
        <v>1061</v>
      </c>
      <c r="O273" s="19">
        <f>K273/F273</f>
        <v>-5.7064223940008131E-2</v>
      </c>
      <c r="P273" s="19">
        <f>L273/(E273/1000)</f>
        <v>0.26346911957950064</v>
      </c>
      <c r="R273" s="20" t="s">
        <v>1291</v>
      </c>
      <c r="T273">
        <v>2025</v>
      </c>
      <c r="U273">
        <v>35114</v>
      </c>
      <c r="V273" s="18">
        <f t="shared" si="36"/>
        <v>17.340246913580248</v>
      </c>
      <c r="W273" s="4">
        <f t="shared" si="37"/>
        <v>135842.5</v>
      </c>
      <c r="X273" s="19">
        <f t="shared" si="38"/>
        <v>0.79460272057511705</v>
      </c>
      <c r="Y273" s="37"/>
    </row>
    <row r="274" spans="1:25" x14ac:dyDescent="0.35">
      <c r="A274" t="s">
        <v>1086</v>
      </c>
      <c r="B274" s="66" t="s">
        <v>1061</v>
      </c>
      <c r="C274" s="67" t="s">
        <v>491</v>
      </c>
      <c r="D274" s="68" t="s">
        <v>111</v>
      </c>
      <c r="E274" s="60">
        <v>772</v>
      </c>
      <c r="F274" s="60">
        <v>19315.38</v>
      </c>
      <c r="G274" s="34">
        <f>IFERROR((F274/E274),0)</f>
        <v>25.019922279792748</v>
      </c>
      <c r="H274" s="1">
        <v>321</v>
      </c>
      <c r="I274" s="1">
        <v>8629</v>
      </c>
      <c r="J274" s="64">
        <f>IFERROR((I274/H274),0)</f>
        <v>26.881619937694705</v>
      </c>
      <c r="K274" s="90">
        <f>I274-F274</f>
        <v>-10686.380000000001</v>
      </c>
      <c r="L274" s="90">
        <f>(H274-E274)/1000</f>
        <v>-0.45100000000000001</v>
      </c>
      <c r="M274" s="55" t="s">
        <v>1061</v>
      </c>
      <c r="O274" s="19">
        <f>K274/F274</f>
        <v>-0.55325755951992661</v>
      </c>
      <c r="P274" s="19">
        <f>L274/(E274/1000)</f>
        <v>-0.58419689119170981</v>
      </c>
      <c r="R274" s="20" t="s">
        <v>1281</v>
      </c>
      <c r="T274">
        <v>0</v>
      </c>
      <c r="U274">
        <v>0</v>
      </c>
      <c r="V274" s="18">
        <f t="shared" si="36"/>
        <v>0</v>
      </c>
      <c r="W274" s="4">
        <f t="shared" si="37"/>
        <v>19315.38</v>
      </c>
      <c r="X274" s="19">
        <f t="shared" si="38"/>
        <v>1</v>
      </c>
      <c r="Y274" s="37"/>
    </row>
    <row r="275" spans="1:25" x14ac:dyDescent="0.35">
      <c r="A275" t="s">
        <v>775</v>
      </c>
      <c r="B275" s="66" t="s">
        <v>1061</v>
      </c>
      <c r="C275" s="67" t="s">
        <v>473</v>
      </c>
      <c r="D275" s="68" t="s">
        <v>55</v>
      </c>
      <c r="E275" s="60">
        <v>1870</v>
      </c>
      <c r="F275" s="60">
        <v>11463.5</v>
      </c>
      <c r="G275" s="34">
        <f>IFERROR((F275/E275),0)</f>
        <v>6.1302139037433152</v>
      </c>
      <c r="H275" s="1">
        <v>0</v>
      </c>
      <c r="I275" s="1">
        <v>0</v>
      </c>
      <c r="J275" s="64">
        <f>IFERROR((I275/H275),0)</f>
        <v>0</v>
      </c>
      <c r="K275" s="90">
        <f>I275-F275</f>
        <v>-11463.5</v>
      </c>
      <c r="L275" s="90">
        <f>(H275-E275)/1000</f>
        <v>-1.87</v>
      </c>
      <c r="M275" s="55" t="s">
        <v>845</v>
      </c>
      <c r="O275" s="19">
        <f>K275/F275</f>
        <v>-1</v>
      </c>
      <c r="P275" s="19">
        <f>L275/(E275/1000)</f>
        <v>-1</v>
      </c>
      <c r="R275" s="20" t="s">
        <v>1062</v>
      </c>
      <c r="T275">
        <v>0</v>
      </c>
      <c r="U275">
        <v>0</v>
      </c>
      <c r="V275" s="18">
        <f t="shared" si="36"/>
        <v>0</v>
      </c>
      <c r="W275" s="4">
        <f t="shared" si="37"/>
        <v>11463.5</v>
      </c>
      <c r="X275" s="19">
        <f t="shared" si="38"/>
        <v>1</v>
      </c>
      <c r="Y275" s="37"/>
    </row>
    <row r="276" spans="1:25" x14ac:dyDescent="0.35">
      <c r="A276" t="s">
        <v>1467</v>
      </c>
      <c r="B276" s="66" t="s">
        <v>822</v>
      </c>
      <c r="C276" s="67" t="s">
        <v>712</v>
      </c>
      <c r="D276" s="68" t="s">
        <v>194</v>
      </c>
      <c r="E276" s="60">
        <v>668</v>
      </c>
      <c r="F276" s="60">
        <v>19063.04</v>
      </c>
      <c r="G276" s="34">
        <f>IFERROR((F276/E276),0)</f>
        <v>28.537485029940122</v>
      </c>
      <c r="H276" s="1">
        <v>690</v>
      </c>
      <c r="I276" s="1">
        <v>7531</v>
      </c>
      <c r="J276" s="64">
        <f>IFERROR((I276/H276),0)</f>
        <v>10.914492753623188</v>
      </c>
      <c r="K276" s="90">
        <f>I276-F276</f>
        <v>-11532.04</v>
      </c>
      <c r="L276" s="90">
        <f>(H276-E276)/1000</f>
        <v>2.1999999999999999E-2</v>
      </c>
      <c r="M276" s="55" t="s">
        <v>1061</v>
      </c>
      <c r="O276" s="19">
        <f>K276/F276</f>
        <v>-0.60494233868260261</v>
      </c>
      <c r="P276" s="19">
        <f>L276/(E276/1000)</f>
        <v>3.2934131736526942E-2</v>
      </c>
      <c r="R276" s="20" t="s">
        <v>1310</v>
      </c>
      <c r="T276">
        <v>0</v>
      </c>
      <c r="U276">
        <v>0</v>
      </c>
      <c r="V276" s="18">
        <f t="shared" si="36"/>
        <v>0</v>
      </c>
      <c r="W276" s="4">
        <f t="shared" si="37"/>
        <v>19063.04</v>
      </c>
      <c r="X276" s="19">
        <f t="shared" si="38"/>
        <v>1</v>
      </c>
      <c r="Y276" s="37"/>
    </row>
    <row r="277" spans="1:25" x14ac:dyDescent="0.35">
      <c r="A277" t="s">
        <v>1468</v>
      </c>
      <c r="B277" s="66" t="s">
        <v>837</v>
      </c>
      <c r="C277" s="67" t="s">
        <v>765</v>
      </c>
      <c r="D277" s="68" t="s">
        <v>366</v>
      </c>
      <c r="E277" s="60">
        <v>205</v>
      </c>
      <c r="F277" s="60">
        <v>20539.099999999999</v>
      </c>
      <c r="G277" s="56">
        <f>IFERROR((F277/E277),0)</f>
        <v>100.19073170731707</v>
      </c>
      <c r="H277" s="1">
        <v>82</v>
      </c>
      <c r="I277" s="1">
        <v>8848</v>
      </c>
      <c r="J277" s="64">
        <f>IFERROR((I277/H277),0)</f>
        <v>107.90243902439025</v>
      </c>
      <c r="K277" s="90">
        <f>I277-F277</f>
        <v>-11691.099999999999</v>
      </c>
      <c r="L277" s="90">
        <f>(H277-E277)/1000</f>
        <v>-0.123</v>
      </c>
      <c r="M277" s="55" t="s">
        <v>1061</v>
      </c>
      <c r="O277" s="19">
        <f>K277/F277</f>
        <v>-0.56921189341305123</v>
      </c>
      <c r="P277" s="19">
        <f>L277/(E277/1000)</f>
        <v>-0.6</v>
      </c>
      <c r="R277" s="20" t="s">
        <v>1297</v>
      </c>
      <c r="T277">
        <v>0</v>
      </c>
      <c r="U277">
        <v>7240</v>
      </c>
      <c r="V277" s="18">
        <f t="shared" si="36"/>
        <v>0</v>
      </c>
      <c r="W277" s="4">
        <f t="shared" si="37"/>
        <v>13299.099999999999</v>
      </c>
      <c r="X277" s="19">
        <f t="shared" si="38"/>
        <v>0.64750159451972089</v>
      </c>
      <c r="Y277" s="37" t="s">
        <v>1065</v>
      </c>
    </row>
    <row r="278" spans="1:25" x14ac:dyDescent="0.35">
      <c r="A278" t="s">
        <v>710</v>
      </c>
      <c r="B278" s="66" t="s">
        <v>819</v>
      </c>
      <c r="C278" s="67" t="s">
        <v>653</v>
      </c>
      <c r="D278" s="68" t="s">
        <v>36</v>
      </c>
      <c r="E278" s="59">
        <v>164</v>
      </c>
      <c r="F278" s="59">
        <v>12057.64</v>
      </c>
      <c r="G278" s="34">
        <f>IFERROR((F278/E278),0)</f>
        <v>73.522195121951214</v>
      </c>
      <c r="H278" s="1">
        <v>0</v>
      </c>
      <c r="I278" s="1">
        <v>0</v>
      </c>
      <c r="J278" s="64">
        <f>IFERROR((I278/H278),0)</f>
        <v>0</v>
      </c>
      <c r="K278" s="90">
        <f>I278-F278</f>
        <v>-12057.64</v>
      </c>
      <c r="L278" s="90">
        <f>(H278-E278)/1000</f>
        <v>-0.16400000000000001</v>
      </c>
      <c r="M278" s="55" t="s">
        <v>845</v>
      </c>
      <c r="O278" s="19">
        <f>K278/F278</f>
        <v>-1</v>
      </c>
      <c r="P278" s="19">
        <f>L278/(E278/1000)</f>
        <v>-1</v>
      </c>
      <c r="R278" s="20" t="s">
        <v>1291</v>
      </c>
      <c r="T278">
        <v>22253</v>
      </c>
      <c r="U278">
        <v>212508</v>
      </c>
      <c r="V278" s="18">
        <f t="shared" si="36"/>
        <v>9.5496337572462142</v>
      </c>
      <c r="W278" s="4">
        <f t="shared" si="37"/>
        <v>-200450.36</v>
      </c>
      <c r="X278" s="19">
        <f t="shared" si="38"/>
        <v>-16.624344399069802</v>
      </c>
      <c r="Y278" s="37"/>
    </row>
    <row r="279" spans="1:25" x14ac:dyDescent="0.35">
      <c r="A279" t="s">
        <v>441</v>
      </c>
      <c r="B279" s="66" t="s">
        <v>1219</v>
      </c>
      <c r="C279" s="67" t="s">
        <v>1135</v>
      </c>
      <c r="D279" s="68" t="s">
        <v>1181</v>
      </c>
      <c r="E279" s="60">
        <v>12918</v>
      </c>
      <c r="F279" s="60">
        <v>198905.9</v>
      </c>
      <c r="G279" s="56">
        <f>IFERROR((F279/E279),0)</f>
        <v>15.397577024307168</v>
      </c>
      <c r="H279" s="1">
        <v>13467</v>
      </c>
      <c r="I279" s="1">
        <v>185749</v>
      </c>
      <c r="J279" s="64">
        <f>IFERROR((I279/H279),0)</f>
        <v>13.792901165812728</v>
      </c>
      <c r="K279" s="90">
        <f>I279-F279</f>
        <v>-13156.899999999994</v>
      </c>
      <c r="L279" s="90">
        <f>(H279-E279)/1000</f>
        <v>0.54900000000000004</v>
      </c>
      <c r="M279" s="55" t="s">
        <v>1061</v>
      </c>
      <c r="O279" s="19">
        <f>K279/F279</f>
        <v>-6.6146353627519319E-2</v>
      </c>
      <c r="P279" s="19">
        <f>L279/(E279/1000)</f>
        <v>4.2498838829540184E-2</v>
      </c>
      <c r="R279" s="20" t="s">
        <v>1288</v>
      </c>
      <c r="T279">
        <v>0</v>
      </c>
      <c r="U279">
        <v>0</v>
      </c>
      <c r="V279" s="18">
        <f t="shared" si="36"/>
        <v>0</v>
      </c>
      <c r="W279" s="4">
        <f t="shared" si="37"/>
        <v>198905.9</v>
      </c>
      <c r="X279" s="19">
        <f t="shared" si="38"/>
        <v>1</v>
      </c>
      <c r="Y279" s="37"/>
    </row>
    <row r="280" spans="1:25" x14ac:dyDescent="0.35">
      <c r="A280" t="s">
        <v>396</v>
      </c>
      <c r="B280" s="66" t="s">
        <v>1394</v>
      </c>
      <c r="C280" s="67" t="s">
        <v>1464</v>
      </c>
      <c r="D280" s="68" t="s">
        <v>1381</v>
      </c>
      <c r="E280" s="60">
        <v>2380</v>
      </c>
      <c r="F280" s="60">
        <v>33878.080000000002</v>
      </c>
      <c r="G280" s="56">
        <f>IFERROR((F280/E280),0)</f>
        <v>14.234487394957984</v>
      </c>
      <c r="H280" s="1">
        <v>1866</v>
      </c>
      <c r="I280" s="1">
        <v>20664</v>
      </c>
      <c r="J280" s="64">
        <f>IFERROR((I280/H280),0)</f>
        <v>11.07395498392283</v>
      </c>
      <c r="K280" s="90">
        <f>I280-F280</f>
        <v>-13214.080000000002</v>
      </c>
      <c r="L280" s="90">
        <f>(H280-E280)/1000</f>
        <v>-0.51400000000000001</v>
      </c>
      <c r="M280" s="55" t="s">
        <v>1061</v>
      </c>
      <c r="O280" s="19">
        <f>K280/F280</f>
        <v>-0.39004807828542826</v>
      </c>
      <c r="P280" s="19">
        <f>L280/(E280/1000)</f>
        <v>-0.21596638655462186</v>
      </c>
      <c r="R280" s="20" t="s">
        <v>1310</v>
      </c>
      <c r="T280">
        <v>130</v>
      </c>
      <c r="U280">
        <v>1192</v>
      </c>
      <c r="V280" s="18">
        <f t="shared" si="36"/>
        <v>9.1692307692307686</v>
      </c>
      <c r="W280" s="4">
        <f t="shared" si="37"/>
        <v>32686.080000000002</v>
      </c>
      <c r="X280" s="19">
        <f t="shared" si="38"/>
        <v>0.96481500722591129</v>
      </c>
      <c r="Y280" s="37"/>
    </row>
    <row r="281" spans="1:25" x14ac:dyDescent="0.35">
      <c r="A281" t="s">
        <v>530</v>
      </c>
      <c r="B281" s="66" t="s">
        <v>1595</v>
      </c>
      <c r="C281" s="67" t="s">
        <v>1502</v>
      </c>
      <c r="D281" s="68" t="s">
        <v>1554</v>
      </c>
      <c r="E281" s="60">
        <v>1107</v>
      </c>
      <c r="F281" s="60">
        <v>16718.32</v>
      </c>
      <c r="G281" s="34">
        <f>IFERROR((F281/E281),0)</f>
        <v>15.102366757000903</v>
      </c>
      <c r="H281" s="1">
        <v>169</v>
      </c>
      <c r="I281" s="1">
        <v>2615</v>
      </c>
      <c r="J281" s="64">
        <f>IFERROR((I281/H281),0)</f>
        <v>15.473372781065089</v>
      </c>
      <c r="K281" s="90">
        <f>I281-F281</f>
        <v>-14103.32</v>
      </c>
      <c r="L281" s="90">
        <f>(H281-E281)/1000</f>
        <v>-0.93799999999999994</v>
      </c>
      <c r="M281" s="55" t="s">
        <v>1277</v>
      </c>
      <c r="O281" s="19">
        <f>K281/F281</f>
        <v>-0.84358476210528333</v>
      </c>
      <c r="P281" s="19">
        <f>L281/(E281/1000)</f>
        <v>-0.84733514001806676</v>
      </c>
      <c r="R281" s="20" t="s">
        <v>1283</v>
      </c>
      <c r="T281">
        <v>0</v>
      </c>
      <c r="U281">
        <v>0</v>
      </c>
      <c r="V281" s="18">
        <f t="shared" si="36"/>
        <v>0</v>
      </c>
      <c r="W281" s="4">
        <f t="shared" si="37"/>
        <v>16718.32</v>
      </c>
      <c r="X281" s="19">
        <f t="shared" si="38"/>
        <v>1</v>
      </c>
      <c r="Y281" s="37"/>
    </row>
    <row r="282" spans="1:25" x14ac:dyDescent="0.35">
      <c r="A282" t="s">
        <v>636</v>
      </c>
      <c r="B282" s="66" t="s">
        <v>822</v>
      </c>
      <c r="C282" s="67" t="s">
        <v>696</v>
      </c>
      <c r="D282" s="68" t="s">
        <v>140</v>
      </c>
      <c r="E282" s="59">
        <v>3179</v>
      </c>
      <c r="F282" s="59">
        <v>47884.6</v>
      </c>
      <c r="G282" s="34">
        <f>IFERROR((F282/E282),0)</f>
        <v>15.062787039949669</v>
      </c>
      <c r="H282" s="1">
        <v>270</v>
      </c>
      <c r="I282" s="1">
        <v>33556</v>
      </c>
      <c r="J282" s="64">
        <f>IFERROR((I282/H282),0)</f>
        <v>124.28148148148148</v>
      </c>
      <c r="K282" s="90">
        <f>I282-F282</f>
        <v>-14328.599999999999</v>
      </c>
      <c r="L282" s="90">
        <f>(H282-E282)/1000</f>
        <v>-2.9089999999999998</v>
      </c>
      <c r="M282" s="55" t="s">
        <v>1061</v>
      </c>
      <c r="O282" s="19">
        <f>K282/F282</f>
        <v>-0.2992319033676798</v>
      </c>
      <c r="P282" s="19">
        <f>L282/(E282/1000)</f>
        <v>-0.91506763133060709</v>
      </c>
      <c r="R282" s="20" t="s">
        <v>1601</v>
      </c>
      <c r="T282">
        <v>73</v>
      </c>
      <c r="U282">
        <v>768</v>
      </c>
      <c r="V282" s="18">
        <f t="shared" si="36"/>
        <v>10.520547945205479</v>
      </c>
      <c r="W282" s="4">
        <f t="shared" si="37"/>
        <v>47116.6</v>
      </c>
      <c r="X282" s="19">
        <f t="shared" si="38"/>
        <v>0.98396144063018176</v>
      </c>
      <c r="Y282" s="37" t="s">
        <v>1065</v>
      </c>
    </row>
    <row r="283" spans="1:25" x14ac:dyDescent="0.35">
      <c r="A283" t="s">
        <v>1470</v>
      </c>
      <c r="B283" s="66" t="s">
        <v>1061</v>
      </c>
      <c r="C283" s="67" t="s">
        <v>460</v>
      </c>
      <c r="D283" s="68" t="s">
        <v>1257</v>
      </c>
      <c r="E283" s="60">
        <v>781</v>
      </c>
      <c r="F283" s="60">
        <v>15379.06</v>
      </c>
      <c r="G283" s="56">
        <f>IFERROR((F283/E283),0)</f>
        <v>19.691498079385404</v>
      </c>
      <c r="H283" s="1">
        <v>0</v>
      </c>
      <c r="I283" s="1">
        <v>0</v>
      </c>
      <c r="J283" s="64">
        <f>IFERROR((I283/H283),0)</f>
        <v>0</v>
      </c>
      <c r="K283" s="90">
        <f>I283-F283</f>
        <v>-15379.06</v>
      </c>
      <c r="L283" s="90">
        <f>(H283-E283)/1000</f>
        <v>-0.78100000000000003</v>
      </c>
      <c r="M283" s="55" t="s">
        <v>845</v>
      </c>
      <c r="O283" s="19">
        <f>K283/F283</f>
        <v>-1</v>
      </c>
      <c r="P283" s="19">
        <f>L283/(E283/1000)</f>
        <v>-1</v>
      </c>
      <c r="R283" s="20" t="s">
        <v>1305</v>
      </c>
      <c r="T283">
        <v>0</v>
      </c>
      <c r="U283">
        <v>0</v>
      </c>
      <c r="V283" s="18">
        <f t="shared" si="36"/>
        <v>0</v>
      </c>
      <c r="W283" s="4">
        <f t="shared" si="37"/>
        <v>15379.06</v>
      </c>
      <c r="X283" s="19">
        <f t="shared" si="38"/>
        <v>1</v>
      </c>
      <c r="Y283" s="37"/>
    </row>
    <row r="284" spans="1:25" x14ac:dyDescent="0.35">
      <c r="A284" t="s">
        <v>546</v>
      </c>
      <c r="B284" s="66" t="s">
        <v>1394</v>
      </c>
      <c r="C284" s="67" t="s">
        <v>1462</v>
      </c>
      <c r="D284" s="68" t="s">
        <v>1379</v>
      </c>
      <c r="E284" s="60">
        <v>410</v>
      </c>
      <c r="F284" s="60">
        <v>17465</v>
      </c>
      <c r="G284" s="34">
        <f>IFERROR((F284/E284),0)</f>
        <v>42.597560975609753</v>
      </c>
      <c r="H284" s="1">
        <v>10</v>
      </c>
      <c r="I284" s="1">
        <v>1460</v>
      </c>
      <c r="J284" s="64">
        <f>IFERROR((I284/H284),0)</f>
        <v>146</v>
      </c>
      <c r="K284" s="90">
        <f>I284-F284</f>
        <v>-16005</v>
      </c>
      <c r="L284" s="90">
        <f>(H284-E284)/1000</f>
        <v>-0.4</v>
      </c>
      <c r="M284" s="55" t="s">
        <v>1277</v>
      </c>
      <c r="O284" s="19">
        <f>K284/F284</f>
        <v>-0.91640423704551965</v>
      </c>
      <c r="P284" s="19">
        <f>L284/(E284/1000)</f>
        <v>-0.97560975609756106</v>
      </c>
      <c r="R284" s="20" t="s">
        <v>1301</v>
      </c>
      <c r="T284">
        <v>5131</v>
      </c>
      <c r="U284">
        <v>34987</v>
      </c>
      <c r="V284" s="18">
        <f t="shared" si="36"/>
        <v>6.8187487819138566</v>
      </c>
      <c r="W284" s="4">
        <f t="shared" si="37"/>
        <v>-17522</v>
      </c>
      <c r="X284" s="19">
        <f t="shared" si="38"/>
        <v>-1.0032636701975379</v>
      </c>
      <c r="Y284" s="37"/>
    </row>
    <row r="285" spans="1:25" x14ac:dyDescent="0.35">
      <c r="A285" t="s">
        <v>679</v>
      </c>
      <c r="B285" s="66" t="s">
        <v>837</v>
      </c>
      <c r="C285" s="67" t="s">
        <v>772</v>
      </c>
      <c r="D285" s="68" t="s">
        <v>374</v>
      </c>
      <c r="E285" s="60">
        <v>1146</v>
      </c>
      <c r="F285" s="60">
        <v>16086.12</v>
      </c>
      <c r="G285" s="56">
        <f>IFERROR((F285/E285),0)</f>
        <v>14.036753926701572</v>
      </c>
      <c r="H285" s="1">
        <v>0</v>
      </c>
      <c r="I285" s="1">
        <v>0</v>
      </c>
      <c r="J285" s="64">
        <f>IFERROR((I285/H285),0)</f>
        <v>0</v>
      </c>
      <c r="K285" s="90">
        <f>I285-F285</f>
        <v>-16086.12</v>
      </c>
      <c r="L285" s="90">
        <f>(H285-E285)/1000</f>
        <v>-1.1459999999999999</v>
      </c>
      <c r="M285" s="55" t="s">
        <v>845</v>
      </c>
      <c r="O285" s="19">
        <f>K285/F285</f>
        <v>-1</v>
      </c>
      <c r="P285" s="19">
        <f>L285/(E285/1000)</f>
        <v>-1</v>
      </c>
      <c r="R285" s="20" t="s">
        <v>1601</v>
      </c>
      <c r="T285">
        <v>1795</v>
      </c>
      <c r="U285">
        <v>19892</v>
      </c>
      <c r="V285" s="18">
        <f t="shared" si="36"/>
        <v>11.081894150417828</v>
      </c>
      <c r="W285" s="4">
        <f t="shared" si="37"/>
        <v>-3805.8799999999992</v>
      </c>
      <c r="X285" s="19">
        <f t="shared" si="38"/>
        <v>-0.23659403261942588</v>
      </c>
      <c r="Y285" s="37" t="s">
        <v>1277</v>
      </c>
    </row>
    <row r="286" spans="1:25" x14ac:dyDescent="0.35">
      <c r="A286" t="s">
        <v>1150</v>
      </c>
      <c r="B286" s="66" t="s">
        <v>819</v>
      </c>
      <c r="C286" s="67" t="s">
        <v>699</v>
      </c>
      <c r="D286" s="68" t="s">
        <v>147</v>
      </c>
      <c r="E286" s="60">
        <v>1577</v>
      </c>
      <c r="F286" s="60">
        <v>16657.72</v>
      </c>
      <c r="G286" s="34">
        <f>IFERROR((F286/E286),0)</f>
        <v>10.562916930881421</v>
      </c>
      <c r="H286" s="1">
        <v>0</v>
      </c>
      <c r="I286" s="1">
        <v>0</v>
      </c>
      <c r="J286" s="64">
        <f>IFERROR((I286/H286),0)</f>
        <v>0</v>
      </c>
      <c r="K286" s="90">
        <f>I286-F286</f>
        <v>-16657.72</v>
      </c>
      <c r="L286" s="90">
        <f>(H286-E286)/1000</f>
        <v>-1.577</v>
      </c>
      <c r="M286" s="55" t="s">
        <v>845</v>
      </c>
      <c r="O286" s="19">
        <f>K286/F286</f>
        <v>-1</v>
      </c>
      <c r="P286" s="19">
        <f>L286/(E286/1000)</f>
        <v>-1</v>
      </c>
      <c r="R286" s="20" t="s">
        <v>1601</v>
      </c>
      <c r="T286">
        <v>0</v>
      </c>
      <c r="U286">
        <v>0</v>
      </c>
      <c r="V286" s="18">
        <f t="shared" si="36"/>
        <v>0</v>
      </c>
      <c r="W286" s="4">
        <f t="shared" si="37"/>
        <v>16657.72</v>
      </c>
      <c r="X286" s="19">
        <f t="shared" si="38"/>
        <v>1</v>
      </c>
      <c r="Y286" s="37"/>
    </row>
    <row r="287" spans="1:25" x14ac:dyDescent="0.35">
      <c r="A287" t="s">
        <v>1088</v>
      </c>
      <c r="B287" s="66" t="s">
        <v>976</v>
      </c>
      <c r="C287" s="67" t="s">
        <v>918</v>
      </c>
      <c r="D287" s="68" t="s">
        <v>919</v>
      </c>
      <c r="E287" s="59">
        <v>744</v>
      </c>
      <c r="F287" s="59">
        <v>20103.5</v>
      </c>
      <c r="G287" s="56">
        <f>IFERROR((F287/E287),0)</f>
        <v>27.020833333333332</v>
      </c>
      <c r="H287" s="1">
        <v>76</v>
      </c>
      <c r="I287" s="1">
        <v>3344</v>
      </c>
      <c r="J287" s="64">
        <f>IFERROR((I287/H287),0)</f>
        <v>44</v>
      </c>
      <c r="K287" s="90">
        <f>I287-F287</f>
        <v>-16759.5</v>
      </c>
      <c r="L287" s="90">
        <f>(H287-E287)/1000</f>
        <v>-0.66800000000000004</v>
      </c>
      <c r="M287" s="55" t="s">
        <v>1277</v>
      </c>
      <c r="O287" s="19">
        <f>K287/F287</f>
        <v>-0.83366080533240483</v>
      </c>
      <c r="P287" s="19">
        <f>L287/(E287/1000)</f>
        <v>-0.89784946236559149</v>
      </c>
      <c r="R287" s="20" t="s">
        <v>1601</v>
      </c>
      <c r="T287">
        <v>0</v>
      </c>
      <c r="U287">
        <v>3000</v>
      </c>
      <c r="V287" s="18">
        <f t="shared" si="36"/>
        <v>0</v>
      </c>
      <c r="W287" s="4">
        <f t="shared" si="37"/>
        <v>17103.5</v>
      </c>
      <c r="X287" s="19">
        <f t="shared" si="38"/>
        <v>0.85077225358768371</v>
      </c>
      <c r="Y287" s="37" t="s">
        <v>1065</v>
      </c>
    </row>
    <row r="288" spans="1:25" x14ac:dyDescent="0.35">
      <c r="A288" t="s">
        <v>1473</v>
      </c>
      <c r="B288" s="66" t="s">
        <v>837</v>
      </c>
      <c r="C288" s="67" t="s">
        <v>758</v>
      </c>
      <c r="D288" s="68" t="s">
        <v>359</v>
      </c>
      <c r="E288" s="59">
        <v>1562</v>
      </c>
      <c r="F288" s="59">
        <v>18665</v>
      </c>
      <c r="G288" s="34">
        <f>IFERROR((F288/E288),0)</f>
        <v>11.949423815621</v>
      </c>
      <c r="H288" s="1">
        <v>108</v>
      </c>
      <c r="I288" s="1">
        <v>1861</v>
      </c>
      <c r="J288" s="64">
        <f>IFERROR((I288/H288),0)</f>
        <v>17.231481481481481</v>
      </c>
      <c r="K288" s="90">
        <f>I288-F288</f>
        <v>-16804</v>
      </c>
      <c r="L288" s="90">
        <f>(H288-E288)/1000</f>
        <v>-1.454</v>
      </c>
      <c r="M288" s="55" t="s">
        <v>1277</v>
      </c>
      <c r="O288" s="19">
        <f>K288/F288</f>
        <v>-0.90029466916688994</v>
      </c>
      <c r="P288" s="19">
        <f>L288/(E288/1000)</f>
        <v>-0.93085787451984625</v>
      </c>
      <c r="R288" s="20" t="s">
        <v>1601</v>
      </c>
      <c r="T288">
        <v>1978</v>
      </c>
      <c r="U288">
        <v>24271</v>
      </c>
      <c r="V288" s="18">
        <f t="shared" si="36"/>
        <v>12.270475227502528</v>
      </c>
      <c r="W288" s="4">
        <f t="shared" si="37"/>
        <v>-5606</v>
      </c>
      <c r="X288" s="19">
        <f t="shared" si="38"/>
        <v>-0.30034824537905169</v>
      </c>
      <c r="Y288" s="37" t="s">
        <v>1066</v>
      </c>
    </row>
    <row r="289" spans="1:25" x14ac:dyDescent="0.35">
      <c r="A289" t="s">
        <v>650</v>
      </c>
      <c r="B289" s="66" t="s">
        <v>1394</v>
      </c>
      <c r="C289" s="67" t="s">
        <v>1458</v>
      </c>
      <c r="D289" s="68" t="s">
        <v>1375</v>
      </c>
      <c r="E289" s="60">
        <v>8138</v>
      </c>
      <c r="F289" s="60">
        <v>142895.6</v>
      </c>
      <c r="G289" s="56">
        <f>IFERROR((F289/E289),0)</f>
        <v>17.559056279184077</v>
      </c>
      <c r="H289" s="1">
        <v>7037</v>
      </c>
      <c r="I289" s="1">
        <v>125893</v>
      </c>
      <c r="J289" s="64">
        <f>IFERROR((I289/H289),0)</f>
        <v>17.890152053431859</v>
      </c>
      <c r="K289" s="90">
        <f>I289-F289</f>
        <v>-17002.600000000006</v>
      </c>
      <c r="L289" s="90">
        <f>(H289-E289)/1000</f>
        <v>-1.101</v>
      </c>
      <c r="M289" s="55" t="s">
        <v>1061</v>
      </c>
      <c r="O289" s="19">
        <f>K289/F289</f>
        <v>-0.11898616892332588</v>
      </c>
      <c r="P289" s="19">
        <f>L289/(E289/1000)</f>
        <v>-0.13529122634553944</v>
      </c>
      <c r="R289" s="20" t="s">
        <v>1288</v>
      </c>
      <c r="T289">
        <v>12149</v>
      </c>
      <c r="U289">
        <v>115611</v>
      </c>
      <c r="V289" s="18">
        <f t="shared" si="36"/>
        <v>9.5160918594122972</v>
      </c>
      <c r="W289" s="4">
        <f t="shared" si="37"/>
        <v>27284.600000000006</v>
      </c>
      <c r="X289" s="19">
        <f t="shared" si="38"/>
        <v>0.19094079873698003</v>
      </c>
      <c r="Y289" s="37" t="s">
        <v>1277</v>
      </c>
    </row>
    <row r="290" spans="1:25" x14ac:dyDescent="0.35">
      <c r="A290" t="s">
        <v>958</v>
      </c>
      <c r="B290" s="66" t="s">
        <v>1219</v>
      </c>
      <c r="C290" s="67" t="s">
        <v>1088</v>
      </c>
      <c r="D290" s="68" t="s">
        <v>1089</v>
      </c>
      <c r="E290" s="60">
        <v>3099</v>
      </c>
      <c r="F290" s="60">
        <v>32260.6</v>
      </c>
      <c r="G290" s="56">
        <f>IFERROR((F290/E290),0)</f>
        <v>10.410003226847369</v>
      </c>
      <c r="H290" s="1">
        <v>1218</v>
      </c>
      <c r="I290" s="1">
        <v>14977</v>
      </c>
      <c r="J290" s="64">
        <f>IFERROR((I290/H290),0)</f>
        <v>12.296387520525451</v>
      </c>
      <c r="K290" s="90">
        <f>I290-F290</f>
        <v>-17283.599999999999</v>
      </c>
      <c r="L290" s="90">
        <f>(H290-E290)/1000</f>
        <v>-1.881</v>
      </c>
      <c r="M290" s="55" t="s">
        <v>1061</v>
      </c>
      <c r="O290" s="19">
        <f>K290/F290</f>
        <v>-0.53574949009007888</v>
      </c>
      <c r="P290" s="19">
        <f>L290/(E290/1000)</f>
        <v>-0.60696999031945786</v>
      </c>
      <c r="R290" s="20" t="s">
        <v>1315</v>
      </c>
      <c r="T290">
        <v>0</v>
      </c>
      <c r="U290">
        <v>0</v>
      </c>
      <c r="V290" s="18">
        <f t="shared" si="36"/>
        <v>0</v>
      </c>
      <c r="W290" s="4">
        <f t="shared" si="37"/>
        <v>32260.6</v>
      </c>
      <c r="X290" s="19">
        <f t="shared" si="38"/>
        <v>1</v>
      </c>
      <c r="Y290" s="37"/>
    </row>
    <row r="291" spans="1:25" x14ac:dyDescent="0.35">
      <c r="A291" t="s">
        <v>1474</v>
      </c>
      <c r="B291" s="66" t="s">
        <v>1061</v>
      </c>
      <c r="C291" s="67" t="s">
        <v>452</v>
      </c>
      <c r="D291" s="68" t="s">
        <v>189</v>
      </c>
      <c r="E291" s="60">
        <v>2101</v>
      </c>
      <c r="F291" s="60">
        <v>17562.52</v>
      </c>
      <c r="G291" s="34">
        <f>IFERROR((F291/E291),0)</f>
        <v>8.359124226558782</v>
      </c>
      <c r="H291" s="1">
        <v>0</v>
      </c>
      <c r="I291" s="1">
        <v>0</v>
      </c>
      <c r="J291" s="64">
        <f>IFERROR((I291/H291),0)</f>
        <v>0</v>
      </c>
      <c r="K291" s="90">
        <f>I291-F291</f>
        <v>-17562.52</v>
      </c>
      <c r="L291" s="90">
        <f>(H291-E291)/1000</f>
        <v>-2.101</v>
      </c>
      <c r="M291" s="55" t="s">
        <v>845</v>
      </c>
      <c r="O291" s="19">
        <f>K291/F291</f>
        <v>-1</v>
      </c>
      <c r="P291" s="19">
        <f>L291/(E291/1000)</f>
        <v>-1</v>
      </c>
      <c r="R291" s="20" t="s">
        <v>1291</v>
      </c>
      <c r="T291">
        <v>0</v>
      </c>
      <c r="U291">
        <v>0</v>
      </c>
      <c r="V291" s="18">
        <f t="shared" si="36"/>
        <v>0</v>
      </c>
      <c r="W291" s="4">
        <f t="shared" si="37"/>
        <v>17562.52</v>
      </c>
      <c r="X291" s="19">
        <f t="shared" si="38"/>
        <v>1</v>
      </c>
      <c r="Y291" s="37"/>
    </row>
    <row r="292" spans="1:25" x14ac:dyDescent="0.35">
      <c r="A292" t="s">
        <v>1144</v>
      </c>
      <c r="B292" s="66" t="s">
        <v>1595</v>
      </c>
      <c r="C292" s="67" t="s">
        <v>1494</v>
      </c>
      <c r="D292" s="68" t="s">
        <v>1545</v>
      </c>
      <c r="E292" s="60">
        <v>858</v>
      </c>
      <c r="F292" s="60">
        <v>19258.16</v>
      </c>
      <c r="G292" s="34">
        <f>IFERROR((F292/E292),0)</f>
        <v>22.445407925407924</v>
      </c>
      <c r="H292" s="1">
        <v>126</v>
      </c>
      <c r="I292" s="1">
        <v>1660</v>
      </c>
      <c r="J292" s="64">
        <f>IFERROR((I292/H292),0)</f>
        <v>13.174603174603174</v>
      </c>
      <c r="K292" s="90">
        <f>I292-F292</f>
        <v>-17598.16</v>
      </c>
      <c r="L292" s="90">
        <f>(H292-E292)/1000</f>
        <v>-0.73199999999999998</v>
      </c>
      <c r="M292" s="55" t="s">
        <v>1277</v>
      </c>
      <c r="O292" s="19">
        <f>K292/F292</f>
        <v>-0.91380277243516517</v>
      </c>
      <c r="P292" s="19">
        <f>L292/(E292/1000)</f>
        <v>-0.85314685314685312</v>
      </c>
      <c r="R292" s="20" t="s">
        <v>1289</v>
      </c>
      <c r="T292">
        <v>0</v>
      </c>
      <c r="U292">
        <v>0</v>
      </c>
      <c r="V292" s="18">
        <f t="shared" si="36"/>
        <v>0</v>
      </c>
      <c r="W292" s="4">
        <f t="shared" si="37"/>
        <v>19258.16</v>
      </c>
      <c r="X292" s="19">
        <f t="shared" si="38"/>
        <v>1</v>
      </c>
      <c r="Y292" s="37"/>
    </row>
    <row r="293" spans="1:25" x14ac:dyDescent="0.35">
      <c r="A293" t="s">
        <v>601</v>
      </c>
      <c r="B293" s="66" t="s">
        <v>827</v>
      </c>
      <c r="C293" s="67" t="s">
        <v>481</v>
      </c>
      <c r="D293" s="68" t="s">
        <v>102</v>
      </c>
      <c r="E293" s="60">
        <v>3666</v>
      </c>
      <c r="F293" s="60">
        <v>65184.44</v>
      </c>
      <c r="G293" s="34">
        <f>IFERROR((F293/E293),0)</f>
        <v>17.780807419530824</v>
      </c>
      <c r="H293" s="1">
        <v>2579</v>
      </c>
      <c r="I293" s="1">
        <v>47228</v>
      </c>
      <c r="J293" s="64">
        <f>IFERROR((I293/H293),0)</f>
        <v>18.312524234199302</v>
      </c>
      <c r="K293" s="90">
        <f>I293-F293</f>
        <v>-17956.440000000002</v>
      </c>
      <c r="L293" s="90">
        <f>(H293-E293)/1000</f>
        <v>-1.087</v>
      </c>
      <c r="M293" s="55" t="s">
        <v>1061</v>
      </c>
      <c r="O293" s="19">
        <f>K293/F293</f>
        <v>-0.275471262773754</v>
      </c>
      <c r="P293" s="19">
        <f>L293/(E293/1000)</f>
        <v>-0.29650845608292414</v>
      </c>
      <c r="R293" s="20" t="s">
        <v>1305</v>
      </c>
      <c r="T293">
        <v>29786</v>
      </c>
      <c r="U293">
        <v>307008</v>
      </c>
      <c r="V293" s="18">
        <f t="shared" si="36"/>
        <v>10.30712415228631</v>
      </c>
      <c r="W293" s="4">
        <f t="shared" si="37"/>
        <v>-241823.56</v>
      </c>
      <c r="X293" s="19">
        <f t="shared" si="38"/>
        <v>-3.7098356601667515</v>
      </c>
      <c r="Y293" s="37"/>
    </row>
    <row r="294" spans="1:25" x14ac:dyDescent="0.35">
      <c r="A294" t="s">
        <v>1011</v>
      </c>
      <c r="B294" s="66" t="s">
        <v>1061</v>
      </c>
      <c r="C294" s="67" t="s">
        <v>464</v>
      </c>
      <c r="D294" s="68" t="s">
        <v>1248</v>
      </c>
      <c r="E294" s="59">
        <v>2019.0000000000002</v>
      </c>
      <c r="F294" s="59">
        <v>18046.96</v>
      </c>
      <c r="G294" s="34">
        <f>IFERROR((F294/E294),0)</f>
        <v>8.9385636453689923</v>
      </c>
      <c r="H294" s="1">
        <v>0</v>
      </c>
      <c r="I294" s="1">
        <v>0</v>
      </c>
      <c r="J294" s="64">
        <f>IFERROR((I294/H294),0)</f>
        <v>0</v>
      </c>
      <c r="K294" s="90">
        <f>I294-F294</f>
        <v>-18046.96</v>
      </c>
      <c r="L294" s="90">
        <f>(H294-E294)/1000</f>
        <v>-2.0190000000000001</v>
      </c>
      <c r="M294" s="55" t="s">
        <v>845</v>
      </c>
      <c r="O294" s="19">
        <f>K294/F294</f>
        <v>-1</v>
      </c>
      <c r="P294" s="19">
        <f>L294/(E294/1000)</f>
        <v>-1</v>
      </c>
      <c r="R294" s="20" t="s">
        <v>1305</v>
      </c>
      <c r="T294">
        <v>17483</v>
      </c>
      <c r="U294">
        <v>179969</v>
      </c>
      <c r="V294" s="18">
        <f t="shared" si="36"/>
        <v>10.293942687181834</v>
      </c>
      <c r="W294" s="4">
        <f t="shared" si="37"/>
        <v>-161922.04</v>
      </c>
      <c r="X294" s="19">
        <f t="shared" si="38"/>
        <v>-8.9722612561894088</v>
      </c>
      <c r="Y294" s="37" t="s">
        <v>1277</v>
      </c>
    </row>
    <row r="295" spans="1:25" x14ac:dyDescent="0.35">
      <c r="A295" t="s">
        <v>628</v>
      </c>
      <c r="B295" s="66" t="s">
        <v>1394</v>
      </c>
      <c r="C295" s="67" t="s">
        <v>1470</v>
      </c>
      <c r="D295" s="68" t="s">
        <v>1384</v>
      </c>
      <c r="E295" s="60">
        <v>407</v>
      </c>
      <c r="F295" s="60">
        <v>18373.72</v>
      </c>
      <c r="G295" s="34">
        <f>IFERROR((F295/E295),0)</f>
        <v>45.144275184275187</v>
      </c>
      <c r="H295" s="1">
        <v>0</v>
      </c>
      <c r="I295" s="1">
        <v>0</v>
      </c>
      <c r="J295" s="64">
        <f>IFERROR((I295/H295),0)</f>
        <v>0</v>
      </c>
      <c r="K295" s="90">
        <f>I295-F295</f>
        <v>-18373.72</v>
      </c>
      <c r="L295" s="90">
        <f>(H295-E295)/1000</f>
        <v>-0.40699999999999997</v>
      </c>
      <c r="M295" s="55" t="s">
        <v>845</v>
      </c>
      <c r="O295" s="19">
        <f>K295/F295</f>
        <v>-1</v>
      </c>
      <c r="P295" s="19">
        <f>L295/(E295/1000)</f>
        <v>-1</v>
      </c>
      <c r="R295" s="20" t="s">
        <v>1312</v>
      </c>
      <c r="T295">
        <v>0</v>
      </c>
      <c r="U295">
        <v>0</v>
      </c>
      <c r="V295" s="18">
        <f t="shared" si="36"/>
        <v>0</v>
      </c>
      <c r="W295" s="62">
        <f t="shared" si="37"/>
        <v>18373.72</v>
      </c>
      <c r="X295" s="19">
        <f t="shared" si="38"/>
        <v>1</v>
      </c>
      <c r="Y295" s="63"/>
    </row>
    <row r="296" spans="1:25" x14ac:dyDescent="0.35">
      <c r="A296" t="s">
        <v>644</v>
      </c>
      <c r="B296" s="66" t="s">
        <v>1219</v>
      </c>
      <c r="C296" s="67" t="s">
        <v>1124</v>
      </c>
      <c r="D296" s="68" t="s">
        <v>1178</v>
      </c>
      <c r="E296" s="60">
        <v>7170</v>
      </c>
      <c r="F296" s="60">
        <v>103791.8</v>
      </c>
      <c r="G296" s="34">
        <f>IFERROR((F296/E296),0)</f>
        <v>14.47584379358438</v>
      </c>
      <c r="H296" s="1">
        <v>6322</v>
      </c>
      <c r="I296" s="1">
        <v>85095</v>
      </c>
      <c r="J296" s="64">
        <f>IFERROR((I296/H296),0)</f>
        <v>13.460139196456817</v>
      </c>
      <c r="K296" s="90">
        <f>I296-F296</f>
        <v>-18696.800000000003</v>
      </c>
      <c r="L296" s="90">
        <f>(H296-E296)/1000</f>
        <v>-0.84799999999999998</v>
      </c>
      <c r="M296" s="55" t="s">
        <v>1061</v>
      </c>
      <c r="O296" s="19">
        <f>K296/F296</f>
        <v>-0.18013754458444697</v>
      </c>
      <c r="P296" s="19">
        <f>L296/(E296/1000)</f>
        <v>-0.11827057182705718</v>
      </c>
      <c r="R296" s="20" t="s">
        <v>1310</v>
      </c>
      <c r="T296">
        <v>0</v>
      </c>
      <c r="U296">
        <v>0</v>
      </c>
      <c r="V296" s="18">
        <f t="shared" si="36"/>
        <v>0</v>
      </c>
      <c r="W296" s="62">
        <f t="shared" si="37"/>
        <v>103791.8</v>
      </c>
      <c r="X296" s="19">
        <f t="shared" si="38"/>
        <v>1</v>
      </c>
      <c r="Y296" s="63"/>
    </row>
    <row r="297" spans="1:25" x14ac:dyDescent="0.35">
      <c r="A297" t="s">
        <v>680</v>
      </c>
      <c r="B297" s="66" t="s">
        <v>1223</v>
      </c>
      <c r="C297" s="67" t="s">
        <v>549</v>
      </c>
      <c r="D297" s="68" t="s">
        <v>38</v>
      </c>
      <c r="E297" s="60">
        <v>3552</v>
      </c>
      <c r="F297" s="60">
        <v>55545.599999999999</v>
      </c>
      <c r="G297" s="34">
        <f>IFERROR((F297/E297),0)</f>
        <v>15.637837837837838</v>
      </c>
      <c r="H297" s="1">
        <v>2007</v>
      </c>
      <c r="I297" s="1">
        <v>36774</v>
      </c>
      <c r="J297" s="64">
        <f>IFERROR((I297/H297),0)</f>
        <v>18.32286995515695</v>
      </c>
      <c r="K297" s="90">
        <f>I297-F297</f>
        <v>-18771.599999999999</v>
      </c>
      <c r="L297" s="90">
        <f>(H297-E297)/1000</f>
        <v>-1.5449999999999999</v>
      </c>
      <c r="M297" s="55" t="s">
        <v>1061</v>
      </c>
      <c r="O297" s="19">
        <f>K297/F297</f>
        <v>-0.33794936052540614</v>
      </c>
      <c r="P297" s="19">
        <f>L297/(E297/1000)</f>
        <v>-0.43496621621621617</v>
      </c>
      <c r="R297" s="20" t="s">
        <v>1293</v>
      </c>
      <c r="T297">
        <v>50971</v>
      </c>
      <c r="U297">
        <v>403873</v>
      </c>
      <c r="V297" s="18">
        <f t="shared" ref="V297:V324" si="39">IFERROR((U297/T297),0)</f>
        <v>7.9235839987443839</v>
      </c>
      <c r="W297" s="62">
        <f t="shared" ref="W297:W324" si="40">F297-U297</f>
        <v>-348327.4</v>
      </c>
      <c r="X297" s="19">
        <f t="shared" ref="X297:X324" si="41">W297/F297</f>
        <v>-6.2710169662403512</v>
      </c>
      <c r="Y297" s="63" t="s">
        <v>1066</v>
      </c>
    </row>
    <row r="298" spans="1:25" x14ac:dyDescent="0.35">
      <c r="A298" t="s">
        <v>962</v>
      </c>
      <c r="B298" s="66" t="s">
        <v>813</v>
      </c>
      <c r="C298" s="67" t="s">
        <v>484</v>
      </c>
      <c r="D298" s="68" t="s">
        <v>1256</v>
      </c>
      <c r="E298" s="60">
        <v>1793</v>
      </c>
      <c r="F298" s="60">
        <v>40499.910000000003</v>
      </c>
      <c r="G298" s="34">
        <f>IFERROR((F298/E298),0)</f>
        <v>22.587791411042947</v>
      </c>
      <c r="H298" s="1">
        <v>815</v>
      </c>
      <c r="I298" s="1">
        <v>18910</v>
      </c>
      <c r="J298" s="64">
        <f>IFERROR((I298/H298),0)</f>
        <v>23.20245398773006</v>
      </c>
      <c r="K298" s="90">
        <f>I298-F298</f>
        <v>-21589.910000000003</v>
      </c>
      <c r="L298" s="90">
        <f>(H298-E298)/1000</f>
        <v>-0.97799999999999998</v>
      </c>
      <c r="M298" s="55" t="s">
        <v>1061</v>
      </c>
      <c r="O298" s="19">
        <f>K298/F298</f>
        <v>-0.53308538216504686</v>
      </c>
      <c r="P298" s="19">
        <f>L298/(E298/1000)</f>
        <v>-0.54545454545454541</v>
      </c>
      <c r="R298" s="20" t="s">
        <v>1601</v>
      </c>
      <c r="T298">
        <v>2237</v>
      </c>
      <c r="U298">
        <v>29786</v>
      </c>
      <c r="V298" s="18">
        <f t="shared" si="39"/>
        <v>13.315154224407689</v>
      </c>
      <c r="W298" s="62">
        <f t="shared" si="40"/>
        <v>10713.910000000003</v>
      </c>
      <c r="X298" s="19">
        <f t="shared" si="41"/>
        <v>0.26454157552448887</v>
      </c>
      <c r="Y298" s="63"/>
    </row>
    <row r="299" spans="1:25" x14ac:dyDescent="0.35">
      <c r="A299" t="s">
        <v>425</v>
      </c>
      <c r="B299" s="66" t="s">
        <v>1394</v>
      </c>
      <c r="C299" s="67" t="s">
        <v>1408</v>
      </c>
      <c r="D299" s="68" t="s">
        <v>1344</v>
      </c>
      <c r="E299" s="60">
        <v>4323</v>
      </c>
      <c r="F299" s="60">
        <v>39943</v>
      </c>
      <c r="G299" s="56">
        <f>IFERROR((F299/E299),0)</f>
        <v>9.2396483923201487</v>
      </c>
      <c r="H299" s="1">
        <v>1543</v>
      </c>
      <c r="I299" s="1">
        <v>18111</v>
      </c>
      <c r="J299" s="64">
        <f>IFERROR((I299/H299),0)</f>
        <v>11.73752430330525</v>
      </c>
      <c r="K299" s="90">
        <f>I299-F299</f>
        <v>-21832</v>
      </c>
      <c r="L299" s="90">
        <f>(H299-E299)/1000</f>
        <v>-2.78</v>
      </c>
      <c r="M299" s="55" t="s">
        <v>1061</v>
      </c>
      <c r="O299" s="19">
        <f>K299/F299</f>
        <v>-0.54657887489672785</v>
      </c>
      <c r="P299" s="19">
        <f>L299/(E299/1000)</f>
        <v>-0.64307194078186436</v>
      </c>
      <c r="R299" s="20" t="s">
        <v>1316</v>
      </c>
      <c r="T299">
        <v>477</v>
      </c>
      <c r="U299">
        <v>19422</v>
      </c>
      <c r="V299" s="18">
        <f t="shared" si="39"/>
        <v>40.716981132075475</v>
      </c>
      <c r="W299" s="62">
        <f t="shared" si="40"/>
        <v>20521</v>
      </c>
      <c r="X299" s="19">
        <f t="shared" si="41"/>
        <v>0.51375710387301909</v>
      </c>
      <c r="Y299" s="63"/>
    </row>
    <row r="300" spans="1:25" x14ac:dyDescent="0.35">
      <c r="A300" t="s">
        <v>1101</v>
      </c>
      <c r="B300" s="66" t="s">
        <v>1223</v>
      </c>
      <c r="C300" s="67" t="s">
        <v>561</v>
      </c>
      <c r="D300" s="68" t="s">
        <v>134</v>
      </c>
      <c r="E300" s="60">
        <v>1663</v>
      </c>
      <c r="F300" s="60">
        <v>70457.33</v>
      </c>
      <c r="G300" s="34">
        <f>IFERROR((F300/E300),0)</f>
        <v>42.367606734816597</v>
      </c>
      <c r="H300" s="1">
        <v>1242</v>
      </c>
      <c r="I300" s="1">
        <v>47508</v>
      </c>
      <c r="J300" s="64">
        <f>IFERROR((I300/H300),0)</f>
        <v>38.251207729468597</v>
      </c>
      <c r="K300" s="90">
        <f>I300-F300</f>
        <v>-22949.33</v>
      </c>
      <c r="L300" s="90">
        <f>(H300-E300)/1000</f>
        <v>-0.42099999999999999</v>
      </c>
      <c r="M300" s="55" t="s">
        <v>1061</v>
      </c>
      <c r="O300" s="19">
        <f>K300/F300</f>
        <v>-0.32571955252916907</v>
      </c>
      <c r="P300" s="19">
        <f>L300/(E300/1000)</f>
        <v>-0.25315694527961513</v>
      </c>
      <c r="R300" s="20" t="s">
        <v>1604</v>
      </c>
      <c r="T300">
        <v>3601</v>
      </c>
      <c r="U300">
        <v>56580</v>
      </c>
      <c r="V300" s="18">
        <f t="shared" si="39"/>
        <v>15.712302138294918</v>
      </c>
      <c r="W300" s="62">
        <f t="shared" si="40"/>
        <v>13877.330000000002</v>
      </c>
      <c r="X300" s="19">
        <f t="shared" si="41"/>
        <v>0.19696077044077601</v>
      </c>
      <c r="Y300" s="63" t="s">
        <v>1277</v>
      </c>
    </row>
    <row r="301" spans="1:25" x14ac:dyDescent="0.35">
      <c r="A301" t="s">
        <v>413</v>
      </c>
      <c r="B301" s="66" t="s">
        <v>976</v>
      </c>
      <c r="C301" s="67" t="s">
        <v>960</v>
      </c>
      <c r="D301" s="68" t="s">
        <v>961</v>
      </c>
      <c r="E301" s="60">
        <v>2484</v>
      </c>
      <c r="F301" s="60">
        <v>24023.4</v>
      </c>
      <c r="G301" s="34">
        <f>IFERROR((F301/E301),0)</f>
        <v>9.6712560386473427</v>
      </c>
      <c r="H301" s="1">
        <v>0</v>
      </c>
      <c r="I301" s="1">
        <v>0</v>
      </c>
      <c r="J301" s="64">
        <f>IFERROR((I301/H301),0)</f>
        <v>0</v>
      </c>
      <c r="K301" s="90">
        <f>I301-F301</f>
        <v>-24023.4</v>
      </c>
      <c r="L301" s="90">
        <f>(H301-E301)/1000</f>
        <v>-2.484</v>
      </c>
      <c r="M301" s="55" t="s">
        <v>845</v>
      </c>
      <c r="O301" s="19">
        <f>K301/F301</f>
        <v>-1</v>
      </c>
      <c r="P301" s="19">
        <f>L301/(E301/1000)</f>
        <v>-1</v>
      </c>
      <c r="R301" s="20" t="s">
        <v>1297</v>
      </c>
      <c r="T301">
        <v>9030</v>
      </c>
      <c r="U301">
        <v>94298</v>
      </c>
      <c r="V301" s="18">
        <f t="shared" si="39"/>
        <v>10.442746400885936</v>
      </c>
      <c r="W301" s="62">
        <f t="shared" si="40"/>
        <v>-70274.600000000006</v>
      </c>
      <c r="X301" s="19">
        <f t="shared" si="41"/>
        <v>-2.9252562085300164</v>
      </c>
      <c r="Y301" s="63" t="s">
        <v>1277</v>
      </c>
    </row>
    <row r="302" spans="1:25" x14ac:dyDescent="0.35">
      <c r="A302" t="s">
        <v>1095</v>
      </c>
      <c r="B302" s="66" t="s">
        <v>1595</v>
      </c>
      <c r="C302" s="67" t="s">
        <v>1527</v>
      </c>
      <c r="D302" s="68" t="s">
        <v>1578</v>
      </c>
      <c r="E302" s="60">
        <v>3822</v>
      </c>
      <c r="F302" s="60">
        <v>40136.86</v>
      </c>
      <c r="G302" s="34">
        <f>IFERROR((F302/E302),0)</f>
        <v>10.501533228676086</v>
      </c>
      <c r="H302" s="1">
        <v>1581</v>
      </c>
      <c r="I302" s="1">
        <v>16009</v>
      </c>
      <c r="J302" s="64">
        <f>IFERROR((I302/H302),0)</f>
        <v>10.125869702719797</v>
      </c>
      <c r="K302" s="90">
        <f>I302-F302</f>
        <v>-24127.86</v>
      </c>
      <c r="L302" s="90">
        <f>(H302-E302)/1000</f>
        <v>-2.2410000000000001</v>
      </c>
      <c r="M302" s="55" t="s">
        <v>1061</v>
      </c>
      <c r="O302" s="19">
        <f>K302/F302</f>
        <v>-0.60113970051468901</v>
      </c>
      <c r="P302" s="19">
        <f>L302/(E302/1000)</f>
        <v>-0.58634222919937207</v>
      </c>
      <c r="R302" s="20" t="s">
        <v>1305</v>
      </c>
      <c r="T302">
        <v>31800</v>
      </c>
      <c r="U302">
        <v>522354</v>
      </c>
      <c r="V302" s="18">
        <f t="shared" si="39"/>
        <v>16.426226415094341</v>
      </c>
      <c r="W302" s="62">
        <f t="shared" si="40"/>
        <v>-482217.14</v>
      </c>
      <c r="X302" s="19">
        <f t="shared" si="41"/>
        <v>-12.014321498991201</v>
      </c>
      <c r="Y302" s="63"/>
    </row>
    <row r="303" spans="1:25" x14ac:dyDescent="0.35">
      <c r="A303" t="s">
        <v>780</v>
      </c>
      <c r="B303" s="66" t="s">
        <v>810</v>
      </c>
      <c r="C303" s="67" t="s">
        <v>702</v>
      </c>
      <c r="D303" s="68" t="s">
        <v>159</v>
      </c>
      <c r="E303" s="60">
        <v>2336</v>
      </c>
      <c r="F303" s="60">
        <v>24412.7</v>
      </c>
      <c r="G303" s="34">
        <f>IFERROR((F303/E303),0)</f>
        <v>10.450642123287672</v>
      </c>
      <c r="H303" s="1">
        <v>0</v>
      </c>
      <c r="I303" s="1">
        <v>0</v>
      </c>
      <c r="J303" s="64">
        <f>IFERROR((I303/H303),0)</f>
        <v>0</v>
      </c>
      <c r="K303" s="90">
        <f>I303-F303</f>
        <v>-24412.7</v>
      </c>
      <c r="L303" s="90">
        <f>(H303-E303)/1000</f>
        <v>-2.3359999999999999</v>
      </c>
      <c r="M303" s="55" t="s">
        <v>845</v>
      </c>
      <c r="O303" s="19">
        <f>K303/F303</f>
        <v>-1</v>
      </c>
      <c r="P303" s="19">
        <f>L303/(E303/1000)</f>
        <v>-1</v>
      </c>
      <c r="R303" s="20" t="s">
        <v>1601</v>
      </c>
      <c r="T303">
        <v>0</v>
      </c>
      <c r="U303">
        <v>0</v>
      </c>
      <c r="V303" s="18">
        <f t="shared" si="39"/>
        <v>0</v>
      </c>
      <c r="W303" s="62">
        <f t="shared" si="40"/>
        <v>24412.7</v>
      </c>
      <c r="X303" s="19">
        <f t="shared" si="41"/>
        <v>1</v>
      </c>
      <c r="Y303" s="63"/>
    </row>
    <row r="304" spans="1:25" x14ac:dyDescent="0.35">
      <c r="B304" s="66" t="s">
        <v>822</v>
      </c>
      <c r="C304" s="67" t="s">
        <v>692</v>
      </c>
      <c r="D304" s="68" t="s">
        <v>133</v>
      </c>
      <c r="E304" s="60">
        <v>4614</v>
      </c>
      <c r="F304" s="60">
        <v>62207.29</v>
      </c>
      <c r="G304" s="34">
        <f>IFERROR((F304/E304),0)</f>
        <v>13.482290853922844</v>
      </c>
      <c r="H304" s="1">
        <v>2973</v>
      </c>
      <c r="I304" s="1">
        <v>37006</v>
      </c>
      <c r="J304" s="64">
        <f>IFERROR((I304/H304),0)</f>
        <v>12.44735956945846</v>
      </c>
      <c r="K304" s="90">
        <f>I304-F304</f>
        <v>-25201.29</v>
      </c>
      <c r="L304" s="90">
        <f>(H304-E304)/1000</f>
        <v>-1.641</v>
      </c>
      <c r="M304" s="55" t="s">
        <v>1061</v>
      </c>
      <c r="O304" s="19">
        <f>K304/F304</f>
        <v>-0.40511795321738014</v>
      </c>
      <c r="P304" s="19">
        <f>L304/(E304/1000)</f>
        <v>-0.35565669700910274</v>
      </c>
      <c r="R304" s="20" t="s">
        <v>1299</v>
      </c>
      <c r="T304">
        <v>581</v>
      </c>
      <c r="U304">
        <v>9147</v>
      </c>
      <c r="V304" s="18">
        <f t="shared" si="39"/>
        <v>15.74354561101549</v>
      </c>
      <c r="W304" s="62">
        <f t="shared" si="40"/>
        <v>53060.29</v>
      </c>
      <c r="X304" s="19">
        <f t="shared" si="41"/>
        <v>0.85295935572824344</v>
      </c>
      <c r="Y304" s="63" t="s">
        <v>1277</v>
      </c>
    </row>
    <row r="305" spans="2:25" x14ac:dyDescent="0.35">
      <c r="B305" s="66" t="s">
        <v>828</v>
      </c>
      <c r="C305" s="67" t="s">
        <v>609</v>
      </c>
      <c r="D305" s="68" t="s">
        <v>277</v>
      </c>
      <c r="E305" s="59">
        <v>2245</v>
      </c>
      <c r="F305" s="59">
        <v>36755.480000000003</v>
      </c>
      <c r="G305" s="34">
        <f>IFERROR((F305/E305),0)</f>
        <v>16.372151447661473</v>
      </c>
      <c r="H305" s="1">
        <v>1040</v>
      </c>
      <c r="I305" s="1">
        <v>11277</v>
      </c>
      <c r="J305" s="64">
        <f>IFERROR((I305/H305),0)</f>
        <v>10.843269230769231</v>
      </c>
      <c r="K305" s="90">
        <f>I305-F305</f>
        <v>-25478.480000000003</v>
      </c>
      <c r="L305" s="90">
        <f>(H305-E305)/1000</f>
        <v>-1.2050000000000001</v>
      </c>
      <c r="M305" s="55" t="s">
        <v>1061</v>
      </c>
      <c r="O305" s="19">
        <f>K305/F305</f>
        <v>-0.69318860752192601</v>
      </c>
      <c r="P305" s="19">
        <f>L305/(E305/1000)</f>
        <v>-0.53674832962138086</v>
      </c>
      <c r="R305" s="20" t="s">
        <v>1312</v>
      </c>
      <c r="T305">
        <v>652</v>
      </c>
      <c r="U305">
        <v>14360</v>
      </c>
      <c r="V305" s="18">
        <f t="shared" si="39"/>
        <v>22.024539877300615</v>
      </c>
      <c r="W305" s="62">
        <f t="shared" si="40"/>
        <v>22395.480000000003</v>
      </c>
      <c r="X305" s="19">
        <f t="shared" si="41"/>
        <v>0.60930995867827065</v>
      </c>
      <c r="Y305" s="63"/>
    </row>
    <row r="306" spans="2:25" x14ac:dyDescent="0.35">
      <c r="B306" s="66" t="s">
        <v>976</v>
      </c>
      <c r="C306" s="67" t="s">
        <v>914</v>
      </c>
      <c r="D306" s="68" t="s">
        <v>915</v>
      </c>
      <c r="E306" s="59">
        <v>3020</v>
      </c>
      <c r="F306" s="59">
        <v>49723.22</v>
      </c>
      <c r="G306" s="56">
        <f>IFERROR((F306/E306),0)</f>
        <v>16.464642384105961</v>
      </c>
      <c r="H306" s="1">
        <v>1498</v>
      </c>
      <c r="I306" s="1">
        <v>22587</v>
      </c>
      <c r="J306" s="64">
        <f>IFERROR((I306/H306),0)</f>
        <v>15.078104138851803</v>
      </c>
      <c r="K306" s="90">
        <f>I306-F306</f>
        <v>-27136.22</v>
      </c>
      <c r="L306" s="90">
        <f>(H306-E306)/1000</f>
        <v>-1.522</v>
      </c>
      <c r="M306" s="55" t="s">
        <v>1061</v>
      </c>
      <c r="O306" s="19">
        <f>K306/F306</f>
        <v>-0.54574542839341456</v>
      </c>
      <c r="P306" s="19">
        <f>L306/(E306/1000)</f>
        <v>-0.50397350993377488</v>
      </c>
      <c r="R306" s="20" t="s">
        <v>1601</v>
      </c>
      <c r="T306">
        <v>124</v>
      </c>
      <c r="U306">
        <v>3028</v>
      </c>
      <c r="V306" s="18">
        <f t="shared" si="39"/>
        <v>24.419354838709676</v>
      </c>
      <c r="W306" s="62">
        <f t="shared" si="40"/>
        <v>46695.22</v>
      </c>
      <c r="X306" s="19">
        <f t="shared" si="41"/>
        <v>0.93910289800218083</v>
      </c>
      <c r="Y306" s="63" t="s">
        <v>1277</v>
      </c>
    </row>
    <row r="307" spans="2:25" x14ac:dyDescent="0.35">
      <c r="B307" s="66" t="s">
        <v>822</v>
      </c>
      <c r="C307" s="67" t="s">
        <v>667</v>
      </c>
      <c r="D307" s="68" t="s">
        <v>80</v>
      </c>
      <c r="E307" s="60">
        <v>80625</v>
      </c>
      <c r="F307" s="60">
        <v>1010909</v>
      </c>
      <c r="G307" s="34">
        <f>IFERROR((F307/E307),0)</f>
        <v>12.538406201550387</v>
      </c>
      <c r="H307" s="1">
        <v>79482</v>
      </c>
      <c r="I307" s="1">
        <v>983707</v>
      </c>
      <c r="J307" s="64">
        <f>IFERROR((I307/H307),0)</f>
        <v>12.376475176769583</v>
      </c>
      <c r="K307" s="90">
        <f>I307-F307</f>
        <v>-27202</v>
      </c>
      <c r="L307" s="90">
        <f>(H307-E307)/1000</f>
        <v>-1.143</v>
      </c>
      <c r="M307" s="55" t="s">
        <v>1061</v>
      </c>
      <c r="O307" s="19">
        <f>K307/F307</f>
        <v>-2.6908455657235222E-2</v>
      </c>
      <c r="P307" s="19">
        <f>L307/(E307/1000)</f>
        <v>-1.4176744186046511E-2</v>
      </c>
      <c r="R307" s="20" t="s">
        <v>1282</v>
      </c>
      <c r="T307">
        <v>0</v>
      </c>
      <c r="U307">
        <v>0</v>
      </c>
      <c r="V307" s="18">
        <f t="shared" si="39"/>
        <v>0</v>
      </c>
      <c r="W307" s="62">
        <f t="shared" si="40"/>
        <v>1010909</v>
      </c>
      <c r="X307" s="19">
        <f t="shared" si="41"/>
        <v>1</v>
      </c>
      <c r="Y307" s="63"/>
    </row>
    <row r="308" spans="2:25" x14ac:dyDescent="0.35">
      <c r="B308" s="66" t="s">
        <v>837</v>
      </c>
      <c r="C308" s="67" t="s">
        <v>768</v>
      </c>
      <c r="D308" s="68" t="s">
        <v>369</v>
      </c>
      <c r="E308" s="60">
        <v>13850</v>
      </c>
      <c r="F308" s="60">
        <v>155516.4</v>
      </c>
      <c r="G308" s="56">
        <f>IFERROR((F308/E308),0)</f>
        <v>11.228620938628158</v>
      </c>
      <c r="H308" s="1">
        <v>10984</v>
      </c>
      <c r="I308" s="1">
        <v>128234</v>
      </c>
      <c r="J308" s="64">
        <f>IFERROR((I308/H308),0)</f>
        <v>11.674617625637291</v>
      </c>
      <c r="K308" s="90">
        <f>I308-F308</f>
        <v>-27282.399999999994</v>
      </c>
      <c r="L308" s="90">
        <f>(H308-E308)/1000</f>
        <v>-2.8660000000000001</v>
      </c>
      <c r="M308" s="55" t="s">
        <v>1061</v>
      </c>
      <c r="O308" s="19">
        <f>K308/F308</f>
        <v>-0.17543101563564997</v>
      </c>
      <c r="P308" s="19">
        <f>L308/(E308/1000)</f>
        <v>-0.20693140794223827</v>
      </c>
      <c r="R308" s="20" t="s">
        <v>1601</v>
      </c>
      <c r="T308">
        <v>173646</v>
      </c>
      <c r="U308">
        <v>2737775</v>
      </c>
      <c r="V308" s="18">
        <f t="shared" si="39"/>
        <v>15.766415581124818</v>
      </c>
      <c r="W308" s="62">
        <f t="shared" si="40"/>
        <v>-2582258.6</v>
      </c>
      <c r="X308" s="19">
        <f t="shared" si="41"/>
        <v>-16.604413425207888</v>
      </c>
      <c r="Y308" s="63"/>
    </row>
    <row r="309" spans="2:25" x14ac:dyDescent="0.35">
      <c r="B309" s="66" t="s">
        <v>819</v>
      </c>
      <c r="C309" s="67" t="s">
        <v>662</v>
      </c>
      <c r="D309" s="68" t="s">
        <v>67</v>
      </c>
      <c r="E309" s="60">
        <v>13744</v>
      </c>
      <c r="F309" s="60">
        <v>242455.6</v>
      </c>
      <c r="G309" s="34">
        <f>IFERROR((F309/E309),0)</f>
        <v>17.64083236321304</v>
      </c>
      <c r="H309" s="1">
        <v>14929</v>
      </c>
      <c r="I309" s="1">
        <v>214856</v>
      </c>
      <c r="J309" s="64">
        <f>IFERROR((I309/H309),0)</f>
        <v>14.391854779288632</v>
      </c>
      <c r="K309" s="90">
        <f>I309-F309</f>
        <v>-27599.600000000006</v>
      </c>
      <c r="L309" s="90">
        <f>(H309-E309)/1000</f>
        <v>1.1850000000000001</v>
      </c>
      <c r="M309" s="55" t="s">
        <v>1061</v>
      </c>
      <c r="O309" s="19">
        <f>K309/F309</f>
        <v>-0.113833625620526</v>
      </c>
      <c r="P309" s="19">
        <f>L309/(E309/1000)</f>
        <v>8.6219441210710138E-2</v>
      </c>
      <c r="R309" s="20" t="s">
        <v>1298</v>
      </c>
      <c r="T309">
        <v>0</v>
      </c>
      <c r="U309">
        <v>0</v>
      </c>
      <c r="V309" s="18">
        <f t="shared" si="39"/>
        <v>0</v>
      </c>
      <c r="W309" s="62">
        <f t="shared" si="40"/>
        <v>242455.6</v>
      </c>
      <c r="X309" s="19">
        <f t="shared" si="41"/>
        <v>1</v>
      </c>
      <c r="Y309" s="63"/>
    </row>
    <row r="310" spans="2:25" x14ac:dyDescent="0.35">
      <c r="B310" s="66" t="s">
        <v>1394</v>
      </c>
      <c r="C310" s="67" t="s">
        <v>1436</v>
      </c>
      <c r="D310" s="68" t="s">
        <v>1437</v>
      </c>
      <c r="E310" s="60">
        <v>8881</v>
      </c>
      <c r="F310" s="60">
        <v>193543.7</v>
      </c>
      <c r="G310" s="34">
        <f>IFERROR((F310/E310),0)</f>
        <v>21.793007544195476</v>
      </c>
      <c r="H310" s="1">
        <v>7831</v>
      </c>
      <c r="I310" s="1">
        <v>165236</v>
      </c>
      <c r="J310" s="64">
        <f>IFERROR((I310/H310),0)</f>
        <v>21.100242625462904</v>
      </c>
      <c r="K310" s="90">
        <f>I310-F310</f>
        <v>-28307.700000000012</v>
      </c>
      <c r="L310" s="90">
        <f>(H310-E310)/1000</f>
        <v>-1.05</v>
      </c>
      <c r="M310" s="55" t="s">
        <v>1061</v>
      </c>
      <c r="O310" s="19">
        <f>K310/F310</f>
        <v>-0.14625999192947128</v>
      </c>
      <c r="P310" s="19">
        <f>L310/(E310/1000)</f>
        <v>-0.11822992906204256</v>
      </c>
      <c r="R310" s="20" t="s">
        <v>1601</v>
      </c>
      <c r="T310">
        <v>9405</v>
      </c>
      <c r="U310">
        <v>164705</v>
      </c>
      <c r="V310" s="18">
        <f t="shared" si="39"/>
        <v>17.512493354598618</v>
      </c>
      <c r="W310" s="62">
        <f t="shared" si="40"/>
        <v>28838.700000000012</v>
      </c>
      <c r="X310" s="19">
        <f t="shared" si="41"/>
        <v>0.14900355836950524</v>
      </c>
      <c r="Y310" s="63" t="s">
        <v>1277</v>
      </c>
    </row>
    <row r="311" spans="2:25" x14ac:dyDescent="0.35">
      <c r="B311" s="66" t="s">
        <v>1219</v>
      </c>
      <c r="C311" s="67" t="s">
        <v>1138</v>
      </c>
      <c r="D311" s="68" t="s">
        <v>1174</v>
      </c>
      <c r="E311" s="59">
        <v>3219</v>
      </c>
      <c r="F311" s="59">
        <v>37791.72</v>
      </c>
      <c r="G311" s="34">
        <f>IFERROR((F311/E311),0)</f>
        <v>11.740205032618826</v>
      </c>
      <c r="H311" s="1">
        <v>746</v>
      </c>
      <c r="I311" s="1">
        <v>7845</v>
      </c>
      <c r="J311" s="64">
        <f>IFERROR((I311/H311),0)</f>
        <v>10.516085790884718</v>
      </c>
      <c r="K311" s="90">
        <f>I311-F311</f>
        <v>-29946.720000000001</v>
      </c>
      <c r="L311" s="90">
        <f>(H311-E311)/1000</f>
        <v>-2.4729999999999999</v>
      </c>
      <c r="M311" s="55" t="s">
        <v>1277</v>
      </c>
      <c r="O311" s="19">
        <f>K311/F311</f>
        <v>-0.79241484642667759</v>
      </c>
      <c r="P311" s="19">
        <f>L311/(E311/1000)</f>
        <v>-0.76825100963032</v>
      </c>
      <c r="R311" s="20" t="s">
        <v>1287</v>
      </c>
      <c r="T311">
        <v>48367</v>
      </c>
      <c r="U311">
        <v>554088</v>
      </c>
      <c r="V311" s="18">
        <f t="shared" si="39"/>
        <v>11.455910021295512</v>
      </c>
      <c r="W311" s="62">
        <f t="shared" si="40"/>
        <v>-516296.28</v>
      </c>
      <c r="X311" s="19">
        <f t="shared" si="41"/>
        <v>-13.6616242923053</v>
      </c>
      <c r="Y311" s="63" t="s">
        <v>1066</v>
      </c>
    </row>
    <row r="312" spans="2:25" x14ac:dyDescent="0.35">
      <c r="B312" s="66" t="s">
        <v>815</v>
      </c>
      <c r="C312" s="67" t="s">
        <v>683</v>
      </c>
      <c r="D312" s="68" t="s">
        <v>119</v>
      </c>
      <c r="E312" s="60">
        <v>48712</v>
      </c>
      <c r="F312" s="60">
        <v>388406</v>
      </c>
      <c r="G312" s="56">
        <f>IFERROR((F312/E312),0)</f>
        <v>7.9735178190179008</v>
      </c>
      <c r="H312" s="1">
        <v>39665</v>
      </c>
      <c r="I312" s="1">
        <v>358090</v>
      </c>
      <c r="J312" s="64">
        <f>IFERROR((I312/H312),0)</f>
        <v>9.0278583133745123</v>
      </c>
      <c r="K312" s="90">
        <f>I312-F312</f>
        <v>-30316</v>
      </c>
      <c r="L312" s="90">
        <f>(H312-E312)/1000</f>
        <v>-9.0470000000000006</v>
      </c>
      <c r="M312" s="55" t="s">
        <v>1061</v>
      </c>
      <c r="O312" s="19">
        <f>K312/F312</f>
        <v>-7.8052347286087245E-2</v>
      </c>
      <c r="P312" s="19">
        <f>L312/(E312/1000)</f>
        <v>-0.18572425685662669</v>
      </c>
      <c r="R312" s="20" t="s">
        <v>1285</v>
      </c>
      <c r="T312">
        <v>69111</v>
      </c>
      <c r="U312">
        <v>537660</v>
      </c>
      <c r="V312" s="18">
        <f t="shared" si="39"/>
        <v>7.7796588097408517</v>
      </c>
      <c r="W312" s="62">
        <f t="shared" si="40"/>
        <v>-149254</v>
      </c>
      <c r="X312" s="19">
        <f t="shared" si="41"/>
        <v>-0.38427315746924612</v>
      </c>
      <c r="Y312" s="63"/>
    </row>
    <row r="313" spans="2:25" x14ac:dyDescent="0.35">
      <c r="B313" s="66" t="s">
        <v>1394</v>
      </c>
      <c r="C313" s="67" t="s">
        <v>1457</v>
      </c>
      <c r="D313" s="68" t="s">
        <v>1374</v>
      </c>
      <c r="E313" s="60">
        <v>2909</v>
      </c>
      <c r="F313" s="60">
        <v>35131.300000000003</v>
      </c>
      <c r="G313" s="34">
        <f>IFERROR((F313/E313),0)</f>
        <v>12.076761773805432</v>
      </c>
      <c r="H313" s="1">
        <v>290</v>
      </c>
      <c r="I313" s="1">
        <v>3669</v>
      </c>
      <c r="J313" s="64">
        <f>IFERROR((I313/H313),0)</f>
        <v>12.651724137931035</v>
      </c>
      <c r="K313" s="90">
        <f>I313-F313</f>
        <v>-31462.300000000003</v>
      </c>
      <c r="L313" s="90">
        <f>(H313-E313)/1000</f>
        <v>-2.6190000000000002</v>
      </c>
      <c r="M313" s="55" t="s">
        <v>1277</v>
      </c>
      <c r="O313" s="19">
        <f>K313/F313</f>
        <v>-0.89556321570792996</v>
      </c>
      <c r="P313" s="19">
        <f>L313/(E313/1000)</f>
        <v>-0.90030938466827104</v>
      </c>
      <c r="R313" s="20" t="s">
        <v>1310</v>
      </c>
      <c r="T313">
        <v>8649</v>
      </c>
      <c r="U313">
        <v>161444</v>
      </c>
      <c r="V313" s="18">
        <f t="shared" si="39"/>
        <v>18.666204185454966</v>
      </c>
      <c r="W313" s="62">
        <f t="shared" si="40"/>
        <v>-126312.7</v>
      </c>
      <c r="X313" s="19">
        <f t="shared" si="41"/>
        <v>-3.5954462260149778</v>
      </c>
      <c r="Y313" s="63" t="s">
        <v>1277</v>
      </c>
    </row>
    <row r="314" spans="2:25" x14ac:dyDescent="0.35">
      <c r="B314" s="66" t="s">
        <v>1595</v>
      </c>
      <c r="C314" s="67" t="s">
        <v>1496</v>
      </c>
      <c r="D314" s="68" t="s">
        <v>1547</v>
      </c>
      <c r="E314" s="60">
        <v>10759</v>
      </c>
      <c r="F314" s="60">
        <v>178813.3</v>
      </c>
      <c r="G314" s="56">
        <f>IFERROR((F314/E314),0)</f>
        <v>16.619881029835486</v>
      </c>
      <c r="H314" s="1">
        <v>10313</v>
      </c>
      <c r="I314" s="1">
        <v>147347</v>
      </c>
      <c r="J314" s="64">
        <f>IFERROR((I314/H314),0)</f>
        <v>14.287501212062445</v>
      </c>
      <c r="K314" s="90">
        <f>I314-F314</f>
        <v>-31466.299999999988</v>
      </c>
      <c r="L314" s="90">
        <f>(H314-E314)/1000</f>
        <v>-0.44600000000000001</v>
      </c>
      <c r="M314" s="55" t="s">
        <v>1061</v>
      </c>
      <c r="O314" s="19">
        <f>K314/F314</f>
        <v>-0.17597292818822755</v>
      </c>
      <c r="P314" s="19">
        <f>L314/(E314/1000)</f>
        <v>-4.1453666697648481E-2</v>
      </c>
      <c r="R314" s="20" t="s">
        <v>1282</v>
      </c>
      <c r="T314">
        <v>0</v>
      </c>
      <c r="U314">
        <v>0</v>
      </c>
      <c r="V314" s="18">
        <f t="shared" si="39"/>
        <v>0</v>
      </c>
      <c r="W314" s="62">
        <f t="shared" si="40"/>
        <v>178813.3</v>
      </c>
      <c r="X314" s="19">
        <f t="shared" si="41"/>
        <v>1</v>
      </c>
      <c r="Y314" s="63"/>
    </row>
    <row r="315" spans="2:25" x14ac:dyDescent="0.35">
      <c r="B315" s="66" t="s">
        <v>1223</v>
      </c>
      <c r="C315" s="67" t="s">
        <v>567</v>
      </c>
      <c r="D315" s="68" t="s">
        <v>170</v>
      </c>
      <c r="E315" s="60">
        <v>2045.9999999999998</v>
      </c>
      <c r="F315" s="60">
        <v>43044.67</v>
      </c>
      <c r="G315" s="34">
        <f>IFERROR((F315/E315),0)</f>
        <v>21.03845063538612</v>
      </c>
      <c r="H315" s="1">
        <v>363</v>
      </c>
      <c r="I315" s="1">
        <v>11335</v>
      </c>
      <c r="J315" s="64">
        <f>IFERROR((I315/H315),0)</f>
        <v>31.225895316804408</v>
      </c>
      <c r="K315" s="90">
        <f>I315-F315</f>
        <v>-31709.67</v>
      </c>
      <c r="L315" s="90">
        <f>(H315-E315)/1000</f>
        <v>-1.6829999999999998</v>
      </c>
      <c r="M315" s="55" t="s">
        <v>1277</v>
      </c>
      <c r="O315" s="19">
        <f>K315/F315</f>
        <v>-0.73666890697500986</v>
      </c>
      <c r="P315" s="19">
        <f>L315/(E315/1000)</f>
        <v>-0.82258064516129026</v>
      </c>
      <c r="R315" s="20" t="s">
        <v>1601</v>
      </c>
      <c r="T315">
        <v>742</v>
      </c>
      <c r="U315">
        <v>12048</v>
      </c>
      <c r="V315" s="18">
        <f t="shared" si="39"/>
        <v>16.237196765498652</v>
      </c>
      <c r="W315" s="62">
        <f t="shared" si="40"/>
        <v>30996.67</v>
      </c>
      <c r="X315" s="19">
        <f t="shared" si="41"/>
        <v>0.72010471912085749</v>
      </c>
      <c r="Y315" s="63" t="s">
        <v>1065</v>
      </c>
    </row>
    <row r="316" spans="2:25" x14ac:dyDescent="0.35">
      <c r="B316" s="66" t="s">
        <v>1061</v>
      </c>
      <c r="C316" s="67" t="s">
        <v>432</v>
      </c>
      <c r="D316" s="68" t="s">
        <v>69</v>
      </c>
      <c r="E316" s="60">
        <v>7309</v>
      </c>
      <c r="F316" s="60">
        <v>202538.1</v>
      </c>
      <c r="G316" s="56">
        <f>IFERROR((F316/E316),0)</f>
        <v>27.710781228622249</v>
      </c>
      <c r="H316" s="1">
        <v>8548</v>
      </c>
      <c r="I316" s="1">
        <v>170690</v>
      </c>
      <c r="J316" s="64">
        <f>IFERROR((I316/H316),0)</f>
        <v>19.968413664014975</v>
      </c>
      <c r="K316" s="90">
        <f>I316-F316</f>
        <v>-31848.100000000006</v>
      </c>
      <c r="L316" s="90">
        <f>(H316-E316)/1000</f>
        <v>1.2390000000000001</v>
      </c>
      <c r="M316" s="55" t="s">
        <v>1061</v>
      </c>
      <c r="O316" s="19">
        <f>K316/F316</f>
        <v>-0.15724498254896241</v>
      </c>
      <c r="P316" s="19">
        <f>L316/(E316/1000)</f>
        <v>0.16951703379395267</v>
      </c>
      <c r="R316" s="20" t="s">
        <v>1298</v>
      </c>
      <c r="T316">
        <v>0</v>
      </c>
      <c r="U316">
        <v>0</v>
      </c>
      <c r="V316" s="18">
        <f t="shared" si="39"/>
        <v>0</v>
      </c>
      <c r="W316" s="62">
        <f t="shared" si="40"/>
        <v>202538.1</v>
      </c>
      <c r="X316" s="19">
        <f t="shared" si="41"/>
        <v>1</v>
      </c>
      <c r="Y316" s="63"/>
    </row>
    <row r="317" spans="2:25" x14ac:dyDescent="0.35">
      <c r="B317" s="66" t="s">
        <v>810</v>
      </c>
      <c r="C317" s="67" t="s">
        <v>698</v>
      </c>
      <c r="D317" s="68" t="s">
        <v>146</v>
      </c>
      <c r="E317" s="60">
        <v>3393</v>
      </c>
      <c r="F317" s="60">
        <v>64861.87</v>
      </c>
      <c r="G317" s="56">
        <f>IFERROR((F317/E317),0)</f>
        <v>19.116377836722666</v>
      </c>
      <c r="H317" s="1">
        <v>698</v>
      </c>
      <c r="I317" s="1">
        <v>32582</v>
      </c>
      <c r="J317" s="64">
        <f>IFERROR((I317/H317),0)</f>
        <v>46.679083094555871</v>
      </c>
      <c r="K317" s="90">
        <f>I317-F317</f>
        <v>-32279.870000000003</v>
      </c>
      <c r="L317" s="90">
        <f>(H317-E317)/1000</f>
        <v>-2.6949999999999998</v>
      </c>
      <c r="M317" s="55" t="s">
        <v>1061</v>
      </c>
      <c r="O317" s="19">
        <f>K317/F317</f>
        <v>-0.49767097371691565</v>
      </c>
      <c r="P317" s="19">
        <f>L317/(E317/1000)</f>
        <v>-0.79428234600648395</v>
      </c>
      <c r="R317" s="20" t="s">
        <v>1601</v>
      </c>
      <c r="T317">
        <v>0</v>
      </c>
      <c r="U317">
        <v>0</v>
      </c>
      <c r="V317" s="18">
        <f t="shared" si="39"/>
        <v>0</v>
      </c>
      <c r="W317" s="62">
        <f t="shared" si="40"/>
        <v>64861.87</v>
      </c>
      <c r="X317" s="19">
        <f t="shared" si="41"/>
        <v>1</v>
      </c>
      <c r="Y317" s="63"/>
    </row>
    <row r="318" spans="2:25" x14ac:dyDescent="0.35">
      <c r="B318" s="66" t="s">
        <v>1394</v>
      </c>
      <c r="C318" s="67" t="s">
        <v>1428</v>
      </c>
      <c r="D318" s="68" t="s">
        <v>1356</v>
      </c>
      <c r="E318" s="60">
        <v>39462</v>
      </c>
      <c r="F318" s="60">
        <v>401986.6</v>
      </c>
      <c r="G318" s="56">
        <f>IFERROR((F318/E318),0)</f>
        <v>10.186675789366985</v>
      </c>
      <c r="H318" s="1">
        <v>33628</v>
      </c>
      <c r="I318" s="1">
        <v>369649</v>
      </c>
      <c r="J318" s="64">
        <f>IFERROR((I318/H318),0)</f>
        <v>10.992298084929226</v>
      </c>
      <c r="K318" s="90">
        <f>I318-F318</f>
        <v>-32337.599999999977</v>
      </c>
      <c r="L318" s="90">
        <f>(H318-E318)/1000</f>
        <v>-5.8339999999999996</v>
      </c>
      <c r="M318" s="55" t="s">
        <v>1061</v>
      </c>
      <c r="O318" s="19">
        <f>K318/F318</f>
        <v>-8.0444472527193639E-2</v>
      </c>
      <c r="P318" s="19">
        <f>L318/(E318/1000)</f>
        <v>-0.14783842684101159</v>
      </c>
      <c r="R318" s="20" t="s">
        <v>1062</v>
      </c>
      <c r="T318">
        <v>4768</v>
      </c>
      <c r="U318">
        <v>48340</v>
      </c>
      <c r="V318" s="18">
        <f t="shared" si="39"/>
        <v>10.138422818791947</v>
      </c>
      <c r="W318" s="62">
        <f t="shared" si="40"/>
        <v>353646.6</v>
      </c>
      <c r="X318" s="19">
        <f t="shared" si="41"/>
        <v>0.87974723535560639</v>
      </c>
      <c r="Y318" s="63"/>
    </row>
    <row r="319" spans="2:25" x14ac:dyDescent="0.35">
      <c r="B319" s="66" t="s">
        <v>1061</v>
      </c>
      <c r="C319" s="67" t="s">
        <v>426</v>
      </c>
      <c r="D319" s="68" t="s">
        <v>160</v>
      </c>
      <c r="E319" s="59">
        <v>2588</v>
      </c>
      <c r="F319" s="59">
        <v>35941.42</v>
      </c>
      <c r="G319" s="34">
        <f>IFERROR((F319/E319),0)</f>
        <v>13.887720247295208</v>
      </c>
      <c r="H319" s="1">
        <v>204</v>
      </c>
      <c r="I319" s="1">
        <v>3076</v>
      </c>
      <c r="J319" s="64">
        <f>IFERROR((I319/H319),0)</f>
        <v>15.078431372549019</v>
      </c>
      <c r="K319" s="90">
        <f>I319-F319</f>
        <v>-32865.42</v>
      </c>
      <c r="L319" s="90">
        <f>(H319-E319)/1000</f>
        <v>-2.3839999999999999</v>
      </c>
      <c r="M319" s="55" t="s">
        <v>1277</v>
      </c>
      <c r="O319" s="19">
        <f>K319/F319</f>
        <v>-0.91441629184378359</v>
      </c>
      <c r="P319" s="19">
        <f>L319/(E319/1000)</f>
        <v>-0.92117465224111272</v>
      </c>
      <c r="R319" s="20" t="s">
        <v>1604</v>
      </c>
      <c r="T319">
        <v>272</v>
      </c>
      <c r="U319">
        <v>2818</v>
      </c>
      <c r="V319" s="18">
        <f t="shared" si="39"/>
        <v>10.360294117647058</v>
      </c>
      <c r="W319" s="62">
        <f t="shared" si="40"/>
        <v>33123.42</v>
      </c>
      <c r="X319" s="19">
        <f t="shared" si="41"/>
        <v>0.92159463927691221</v>
      </c>
      <c r="Y319" s="63"/>
    </row>
    <row r="320" spans="2:25" x14ac:dyDescent="0.35">
      <c r="B320" s="66" t="s">
        <v>976</v>
      </c>
      <c r="C320" s="67" t="s">
        <v>889</v>
      </c>
      <c r="D320" s="68" t="s">
        <v>890</v>
      </c>
      <c r="E320" s="60">
        <v>3499</v>
      </c>
      <c r="F320" s="60">
        <v>54675.18</v>
      </c>
      <c r="G320" s="34">
        <f>IFERROR((F320/E320),0)</f>
        <v>15.62594455558731</v>
      </c>
      <c r="H320" s="1">
        <v>923</v>
      </c>
      <c r="I320" s="1">
        <v>21342</v>
      </c>
      <c r="J320" s="64">
        <f>IFERROR((I320/H320),0)</f>
        <v>23.122426868905741</v>
      </c>
      <c r="K320" s="90">
        <f>I320-F320</f>
        <v>-33333.18</v>
      </c>
      <c r="L320" s="90">
        <f>(H320-E320)/1000</f>
        <v>-2.5760000000000001</v>
      </c>
      <c r="M320" s="55" t="s">
        <v>1061</v>
      </c>
      <c r="O320" s="19">
        <f>K320/F320</f>
        <v>-0.60965834954727172</v>
      </c>
      <c r="P320" s="19">
        <f>L320/(E320/1000)</f>
        <v>-0.73621034581308942</v>
      </c>
      <c r="R320" s="20" t="s">
        <v>1601</v>
      </c>
      <c r="T320">
        <v>0</v>
      </c>
      <c r="U320">
        <v>0</v>
      </c>
      <c r="V320" s="18">
        <f t="shared" si="39"/>
        <v>0</v>
      </c>
      <c r="W320" s="62">
        <f t="shared" si="40"/>
        <v>54675.18</v>
      </c>
      <c r="X320" s="19">
        <f t="shared" si="41"/>
        <v>1</v>
      </c>
      <c r="Y320" s="63"/>
    </row>
    <row r="321" spans="2:25" x14ac:dyDescent="0.35">
      <c r="B321" s="66" t="s">
        <v>1394</v>
      </c>
      <c r="C321" s="67" t="s">
        <v>1448</v>
      </c>
      <c r="D321" s="68" t="s">
        <v>1366</v>
      </c>
      <c r="E321" s="60">
        <v>16567</v>
      </c>
      <c r="F321" s="60">
        <v>244506</v>
      </c>
      <c r="G321" s="34">
        <f>IFERROR((F321/E321),0)</f>
        <v>14.758616526830446</v>
      </c>
      <c r="H321" s="1">
        <v>13117</v>
      </c>
      <c r="I321" s="1">
        <v>208908</v>
      </c>
      <c r="J321" s="64">
        <f>IFERROR((I321/H321),0)</f>
        <v>15.926507585575971</v>
      </c>
      <c r="K321" s="90">
        <f>I321-F321</f>
        <v>-35598</v>
      </c>
      <c r="L321" s="90">
        <f>(H321-E321)/1000</f>
        <v>-3.45</v>
      </c>
      <c r="M321" s="55" t="s">
        <v>1061</v>
      </c>
      <c r="O321" s="19">
        <f>K321/F321</f>
        <v>-0.14559151922652205</v>
      </c>
      <c r="P321" s="19">
        <f>L321/(E321/1000)</f>
        <v>-0.20824530693547413</v>
      </c>
      <c r="R321" s="20" t="s">
        <v>1296</v>
      </c>
      <c r="T321">
        <v>0</v>
      </c>
      <c r="U321">
        <v>0</v>
      </c>
      <c r="V321" s="18">
        <f t="shared" si="39"/>
        <v>0</v>
      </c>
      <c r="W321" s="62">
        <f t="shared" si="40"/>
        <v>244506</v>
      </c>
      <c r="X321" s="19">
        <f t="shared" si="41"/>
        <v>1</v>
      </c>
      <c r="Y321" s="63"/>
    </row>
    <row r="322" spans="2:25" x14ac:dyDescent="0.35">
      <c r="B322" s="66" t="s">
        <v>1061</v>
      </c>
      <c r="C322" s="67" t="s">
        <v>707</v>
      </c>
      <c r="D322" s="68" t="s">
        <v>172</v>
      </c>
      <c r="E322" s="60">
        <v>3791</v>
      </c>
      <c r="F322" s="60">
        <v>67571.460000000006</v>
      </c>
      <c r="G322" s="56">
        <f>IFERROR((F322/E322),0)</f>
        <v>17.824178317066739</v>
      </c>
      <c r="H322" s="1">
        <v>2028</v>
      </c>
      <c r="I322" s="1">
        <v>31105</v>
      </c>
      <c r="J322" s="64">
        <f>IFERROR((I322/H322),0)</f>
        <v>15.337771203155819</v>
      </c>
      <c r="K322" s="90">
        <f>I322-F322</f>
        <v>-36466.460000000006</v>
      </c>
      <c r="L322" s="90">
        <f>(H322-E322)/1000</f>
        <v>-1.7629999999999999</v>
      </c>
      <c r="M322" s="55" t="s">
        <v>1061</v>
      </c>
      <c r="O322" s="19">
        <f>K322/F322</f>
        <v>-0.53967251854555165</v>
      </c>
      <c r="P322" s="19">
        <f>L322/(E322/1000)</f>
        <v>-0.46504879978897384</v>
      </c>
      <c r="R322" s="20" t="s">
        <v>1291</v>
      </c>
      <c r="T322">
        <v>1404</v>
      </c>
      <c r="U322">
        <v>17498</v>
      </c>
      <c r="V322" s="18">
        <f t="shared" si="39"/>
        <v>12.462962962962964</v>
      </c>
      <c r="W322" s="62">
        <f t="shared" si="40"/>
        <v>50073.460000000006</v>
      </c>
      <c r="X322" s="19">
        <f t="shared" si="41"/>
        <v>0.74104451790741244</v>
      </c>
      <c r="Y322" s="63" t="s">
        <v>1277</v>
      </c>
    </row>
    <row r="323" spans="2:25" x14ac:dyDescent="0.35">
      <c r="B323" s="66" t="s">
        <v>1595</v>
      </c>
      <c r="C323" s="67" t="s">
        <v>1505</v>
      </c>
      <c r="D323" s="68" t="s">
        <v>1557</v>
      </c>
      <c r="E323" s="60">
        <v>3360</v>
      </c>
      <c r="F323" s="60">
        <v>48174.8</v>
      </c>
      <c r="G323" s="34">
        <f>IFERROR((F323/E323),0)</f>
        <v>14.337738095238096</v>
      </c>
      <c r="H323" s="1">
        <v>527</v>
      </c>
      <c r="I323" s="1">
        <v>10752</v>
      </c>
      <c r="J323" s="64">
        <f>IFERROR((I323/H323),0)</f>
        <v>20.402277039848197</v>
      </c>
      <c r="K323" s="90">
        <f>I323-F323</f>
        <v>-37422.800000000003</v>
      </c>
      <c r="L323" s="90">
        <f>(H323-E323)/1000</f>
        <v>-2.8330000000000002</v>
      </c>
      <c r="M323" s="55" t="s">
        <v>1277</v>
      </c>
      <c r="O323" s="19">
        <f>K323/F323</f>
        <v>-0.77681277348323186</v>
      </c>
      <c r="P323" s="19">
        <f>L323/(E323/1000)</f>
        <v>-0.84315476190476202</v>
      </c>
      <c r="R323" s="20" t="s">
        <v>1310</v>
      </c>
      <c r="T323">
        <v>0</v>
      </c>
      <c r="U323">
        <v>0</v>
      </c>
      <c r="V323" s="18">
        <f t="shared" si="39"/>
        <v>0</v>
      </c>
      <c r="W323" s="62">
        <f t="shared" si="40"/>
        <v>48174.8</v>
      </c>
      <c r="X323" s="19">
        <f t="shared" si="41"/>
        <v>1</v>
      </c>
      <c r="Y323" s="63"/>
    </row>
    <row r="324" spans="2:25" x14ac:dyDescent="0.35">
      <c r="B324" s="66" t="s">
        <v>1061</v>
      </c>
      <c r="C324" s="67" t="s">
        <v>407</v>
      </c>
      <c r="D324" s="68" t="s">
        <v>95</v>
      </c>
      <c r="E324" s="60">
        <v>729</v>
      </c>
      <c r="F324" s="60">
        <v>53761.42</v>
      </c>
      <c r="G324" s="56">
        <f>IFERROR((F324/E324),0)</f>
        <v>73.746803840877917</v>
      </c>
      <c r="H324" s="1">
        <v>162</v>
      </c>
      <c r="I324" s="1">
        <v>15686</v>
      </c>
      <c r="J324" s="64">
        <f>IFERROR((I324/H324),0)</f>
        <v>96.827160493827165</v>
      </c>
      <c r="K324" s="90">
        <f>I324-F324</f>
        <v>-38075.42</v>
      </c>
      <c r="L324" s="90">
        <f>(H324-E324)/1000</f>
        <v>-0.56699999999999995</v>
      </c>
      <c r="M324" s="55" t="s">
        <v>1277</v>
      </c>
      <c r="O324" s="19">
        <f>K324/F324</f>
        <v>-0.70822943292792484</v>
      </c>
      <c r="P324" s="19">
        <f>L324/(E324/1000)</f>
        <v>-0.77777777777777768</v>
      </c>
      <c r="R324" s="20" t="s">
        <v>1298</v>
      </c>
      <c r="T324">
        <v>1303</v>
      </c>
      <c r="U324">
        <v>22405</v>
      </c>
      <c r="V324" s="18">
        <f t="shared" si="39"/>
        <v>17.194934765924788</v>
      </c>
      <c r="W324" s="62">
        <f t="shared" si="40"/>
        <v>31356.42</v>
      </c>
      <c r="X324" s="19">
        <f t="shared" si="41"/>
        <v>0.58325133525118944</v>
      </c>
      <c r="Y324" s="63"/>
    </row>
    <row r="325" spans="2:25" x14ac:dyDescent="0.35">
      <c r="B325" s="66" t="s">
        <v>1394</v>
      </c>
      <c r="C325" s="67" t="s">
        <v>1460</v>
      </c>
      <c r="D325" s="68" t="s">
        <v>1377</v>
      </c>
      <c r="E325" s="60">
        <v>2345</v>
      </c>
      <c r="F325" s="60">
        <v>38962.800000000003</v>
      </c>
      <c r="G325" s="34">
        <f>IFERROR((F325/E325),0)</f>
        <v>16.615266524520258</v>
      </c>
      <c r="H325" s="1">
        <v>0</v>
      </c>
      <c r="I325" s="1">
        <v>0</v>
      </c>
      <c r="J325" s="64">
        <f>IFERROR((I325/H325),0)</f>
        <v>0</v>
      </c>
      <c r="K325" s="90">
        <f>I325-F325</f>
        <v>-38962.800000000003</v>
      </c>
      <c r="L325" s="90">
        <f>(H325-E325)/1000</f>
        <v>-2.3450000000000002</v>
      </c>
      <c r="M325" s="55" t="s">
        <v>845</v>
      </c>
      <c r="O325" s="19">
        <f>K325/F325</f>
        <v>-1</v>
      </c>
      <c r="P325" s="19">
        <f>L325/(E325/1000)</f>
        <v>-1</v>
      </c>
      <c r="R325" s="20" t="s">
        <v>1310</v>
      </c>
    </row>
    <row r="326" spans="2:25" x14ac:dyDescent="0.35">
      <c r="B326" s="66" t="s">
        <v>1595</v>
      </c>
      <c r="C326" s="67" t="s">
        <v>1492</v>
      </c>
      <c r="D326" s="68" t="s">
        <v>1543</v>
      </c>
      <c r="E326" s="60">
        <v>1376</v>
      </c>
      <c r="F326" s="60">
        <v>39216</v>
      </c>
      <c r="G326" s="34">
        <f>IFERROR((F326/E326),0)</f>
        <v>28.5</v>
      </c>
      <c r="H326" s="1">
        <v>0</v>
      </c>
      <c r="I326" s="1">
        <v>0</v>
      </c>
      <c r="J326" s="64">
        <f>IFERROR((I326/H326),0)</f>
        <v>0</v>
      </c>
      <c r="K326" s="90">
        <f>I326-F326</f>
        <v>-39216</v>
      </c>
      <c r="L326" s="90">
        <f>(H326-E326)/1000</f>
        <v>-1.3759999999999999</v>
      </c>
      <c r="M326" s="55" t="s">
        <v>845</v>
      </c>
      <c r="O326" s="19">
        <f>K326/F326</f>
        <v>-1</v>
      </c>
      <c r="P326" s="19">
        <f>L326/(E326/1000)</f>
        <v>-1</v>
      </c>
      <c r="R326" s="20" t="s">
        <v>1289</v>
      </c>
      <c r="T326">
        <v>0</v>
      </c>
      <c r="U326">
        <v>0</v>
      </c>
      <c r="V326" s="18">
        <f t="shared" ref="V326:V368" si="42">IFERROR((U326/T326),0)</f>
        <v>0</v>
      </c>
      <c r="W326" s="62">
        <f t="shared" ref="W326:W368" si="43">F326-U326</f>
        <v>39216</v>
      </c>
      <c r="X326" s="19">
        <f t="shared" ref="X326:X368" si="44">W326/F326</f>
        <v>1</v>
      </c>
      <c r="Y326" s="63"/>
    </row>
    <row r="327" spans="2:25" x14ac:dyDescent="0.35">
      <c r="B327" s="66" t="s">
        <v>1061</v>
      </c>
      <c r="C327" s="67" t="s">
        <v>497</v>
      </c>
      <c r="D327" s="68" t="s">
        <v>155</v>
      </c>
      <c r="E327" s="59">
        <v>10040</v>
      </c>
      <c r="F327" s="59">
        <v>157942.20000000001</v>
      </c>
      <c r="G327" s="34">
        <f>IFERROR((F327/E327),0)</f>
        <v>15.731294820717133</v>
      </c>
      <c r="H327" s="1">
        <v>8822</v>
      </c>
      <c r="I327" s="1">
        <v>117874</v>
      </c>
      <c r="J327" s="64">
        <f>IFERROR((I327/H327),0)</f>
        <v>13.361369304012696</v>
      </c>
      <c r="K327" s="90">
        <f>I327-F327</f>
        <v>-40068.200000000012</v>
      </c>
      <c r="L327" s="90">
        <f>(H327-E327)/1000</f>
        <v>-1.218</v>
      </c>
      <c r="M327" s="55" t="s">
        <v>1061</v>
      </c>
      <c r="O327" s="19">
        <f>K327/F327</f>
        <v>-0.25368900775093678</v>
      </c>
      <c r="P327" s="19">
        <f>L327/(E327/1000)</f>
        <v>-0.12131474103585659</v>
      </c>
      <c r="R327" s="20" t="s">
        <v>1291</v>
      </c>
      <c r="T327">
        <v>2553</v>
      </c>
      <c r="U327">
        <v>42144</v>
      </c>
      <c r="V327" s="18">
        <f t="shared" si="42"/>
        <v>16.507638072855464</v>
      </c>
      <c r="W327" s="62">
        <f t="shared" si="43"/>
        <v>115798.20000000001</v>
      </c>
      <c r="X327" s="19">
        <f t="shared" si="44"/>
        <v>0.73316820963618334</v>
      </c>
      <c r="Y327" s="63"/>
    </row>
    <row r="328" spans="2:25" x14ac:dyDescent="0.35">
      <c r="B328" s="66" t="s">
        <v>976</v>
      </c>
      <c r="C328" s="67" t="s">
        <v>922</v>
      </c>
      <c r="D328" s="68" t="s">
        <v>923</v>
      </c>
      <c r="E328" s="60">
        <v>6955</v>
      </c>
      <c r="F328" s="60">
        <v>82540.02</v>
      </c>
      <c r="G328" s="56">
        <f>IFERROR((F328/E328),0)</f>
        <v>11.867723939611791</v>
      </c>
      <c r="H328" s="1">
        <v>2889</v>
      </c>
      <c r="I328" s="1">
        <v>38058</v>
      </c>
      <c r="J328" s="64">
        <f>IFERROR((I328/H328),0)</f>
        <v>13.173416407061266</v>
      </c>
      <c r="K328" s="90">
        <f>I328-F328</f>
        <v>-44482.020000000004</v>
      </c>
      <c r="L328" s="90">
        <f>(H328-E328)/1000</f>
        <v>-4.0659999999999998</v>
      </c>
      <c r="M328" s="55" t="s">
        <v>1061</v>
      </c>
      <c r="O328" s="19">
        <f>K328/F328</f>
        <v>-0.53891457743770843</v>
      </c>
      <c r="P328" s="19">
        <f>L328/(E328/1000)</f>
        <v>-0.58461538461538454</v>
      </c>
      <c r="R328" s="20" t="s">
        <v>1310</v>
      </c>
      <c r="T328">
        <v>0</v>
      </c>
      <c r="U328">
        <v>0</v>
      </c>
      <c r="V328" s="18">
        <f t="shared" si="42"/>
        <v>0</v>
      </c>
      <c r="W328" s="62">
        <f t="shared" si="43"/>
        <v>82540.02</v>
      </c>
      <c r="X328" s="19">
        <f t="shared" si="44"/>
        <v>1</v>
      </c>
      <c r="Y328" s="63"/>
    </row>
    <row r="329" spans="2:25" x14ac:dyDescent="0.35">
      <c r="B329" s="66" t="s">
        <v>1235</v>
      </c>
      <c r="C329" s="67" t="s">
        <v>999</v>
      </c>
      <c r="D329" s="68" t="s">
        <v>176</v>
      </c>
      <c r="E329" s="60">
        <v>5748</v>
      </c>
      <c r="F329" s="60">
        <v>91136.33</v>
      </c>
      <c r="G329" s="34">
        <f>IFERROR((F329/E329),0)</f>
        <v>15.855311412665275</v>
      </c>
      <c r="H329" s="1">
        <v>2422</v>
      </c>
      <c r="I329" s="1">
        <v>44083</v>
      </c>
      <c r="J329" s="64">
        <f>IFERROR((I329/H329),0)</f>
        <v>18.201073492981006</v>
      </c>
      <c r="K329" s="90">
        <f>I329-F329</f>
        <v>-47053.33</v>
      </c>
      <c r="L329" s="90">
        <f>(H329-E329)/1000</f>
        <v>-3.3260000000000001</v>
      </c>
      <c r="M329" s="55" t="s">
        <v>1061</v>
      </c>
      <c r="O329" s="19">
        <f>K329/F329</f>
        <v>-0.51629608082748124</v>
      </c>
      <c r="P329" s="19">
        <f>L329/(E329/1000)</f>
        <v>-0.5786360473208072</v>
      </c>
      <c r="R329" s="20" t="s">
        <v>1293</v>
      </c>
      <c r="T329">
        <v>0</v>
      </c>
      <c r="U329">
        <v>0</v>
      </c>
      <c r="V329" s="18">
        <f t="shared" si="42"/>
        <v>0</v>
      </c>
      <c r="W329" s="62">
        <f t="shared" si="43"/>
        <v>91136.33</v>
      </c>
      <c r="X329" s="19">
        <f t="shared" si="44"/>
        <v>1</v>
      </c>
      <c r="Y329" s="63"/>
    </row>
    <row r="330" spans="2:25" x14ac:dyDescent="0.35">
      <c r="B330" s="66" t="s">
        <v>822</v>
      </c>
      <c r="C330" s="67" t="s">
        <v>679</v>
      </c>
      <c r="D330" s="68" t="s">
        <v>113</v>
      </c>
      <c r="E330" s="60">
        <v>6115</v>
      </c>
      <c r="F330" s="60">
        <v>84780.39</v>
      </c>
      <c r="G330" s="56">
        <f>IFERROR((F330/E330),0)</f>
        <v>13.864331970564187</v>
      </c>
      <c r="H330" s="1">
        <v>118</v>
      </c>
      <c r="I330" s="1">
        <v>35792</v>
      </c>
      <c r="J330" s="64">
        <f>IFERROR((I330/H330),0)</f>
        <v>303.32203389830511</v>
      </c>
      <c r="K330" s="90">
        <f>I330-F330</f>
        <v>-48988.39</v>
      </c>
      <c r="L330" s="90">
        <f>(H330-E330)/1000</f>
        <v>-5.9969999999999999</v>
      </c>
      <c r="M330" s="55" t="s">
        <v>1061</v>
      </c>
      <c r="O330" s="19">
        <f>K330/F330</f>
        <v>-0.5778269007726905</v>
      </c>
      <c r="P330" s="19">
        <f>L330/(E330/1000)</f>
        <v>-0.98070318887980368</v>
      </c>
      <c r="R330" s="20" t="s">
        <v>1601</v>
      </c>
      <c r="T330">
        <v>4850</v>
      </c>
      <c r="U330">
        <v>49914</v>
      </c>
      <c r="V330" s="18">
        <f t="shared" si="42"/>
        <v>10.291546391752577</v>
      </c>
      <c r="W330" s="62">
        <f t="shared" si="43"/>
        <v>34866.39</v>
      </c>
      <c r="X330" s="19">
        <f t="shared" si="44"/>
        <v>0.41125536223647946</v>
      </c>
      <c r="Y330" s="63" t="s">
        <v>1277</v>
      </c>
    </row>
    <row r="331" spans="2:25" x14ac:dyDescent="0.35">
      <c r="B331" s="66" t="s">
        <v>825</v>
      </c>
      <c r="C331" s="67" t="s">
        <v>599</v>
      </c>
      <c r="D331" s="68" t="s">
        <v>1239</v>
      </c>
      <c r="E331" s="59">
        <v>2960</v>
      </c>
      <c r="F331" s="59">
        <v>121676</v>
      </c>
      <c r="G331" s="56">
        <f>IFERROR((F331/E331),0)</f>
        <v>41.106756756756759</v>
      </c>
      <c r="H331" s="1">
        <v>1629</v>
      </c>
      <c r="I331" s="1">
        <v>69572</v>
      </c>
      <c r="J331" s="64">
        <f>IFERROR((I331/H331),0)</f>
        <v>42.708410067526088</v>
      </c>
      <c r="K331" s="90">
        <f>I331-F331</f>
        <v>-52104</v>
      </c>
      <c r="L331" s="90">
        <f>(H331-E331)/1000</f>
        <v>-1.331</v>
      </c>
      <c r="M331" s="55" t="s">
        <v>1061</v>
      </c>
      <c r="O331" s="19">
        <f>K331/F331</f>
        <v>-0.42821920510207434</v>
      </c>
      <c r="P331" s="19">
        <f>L331/(E331/1000)</f>
        <v>-0.44966216216216215</v>
      </c>
      <c r="R331" s="20" t="s">
        <v>1291</v>
      </c>
      <c r="T331">
        <v>0</v>
      </c>
      <c r="U331">
        <v>0</v>
      </c>
      <c r="V331" s="18">
        <f t="shared" si="42"/>
        <v>0</v>
      </c>
      <c r="W331" s="62">
        <f t="shared" si="43"/>
        <v>121676</v>
      </c>
      <c r="X331" s="19">
        <f t="shared" si="44"/>
        <v>1</v>
      </c>
      <c r="Y331" s="63"/>
    </row>
    <row r="332" spans="2:25" x14ac:dyDescent="0.35">
      <c r="B332" s="66" t="s">
        <v>822</v>
      </c>
      <c r="C332" s="67" t="s">
        <v>688</v>
      </c>
      <c r="D332" s="68" t="s">
        <v>127</v>
      </c>
      <c r="E332" s="60">
        <v>4314</v>
      </c>
      <c r="F332" s="60">
        <v>52872.27</v>
      </c>
      <c r="G332" s="34">
        <f>IFERROR((F332/E332),0)</f>
        <v>12.2559735744089</v>
      </c>
      <c r="H332" s="1">
        <v>16</v>
      </c>
      <c r="I332" s="1">
        <v>420</v>
      </c>
      <c r="J332" s="64">
        <f>IFERROR((I332/H332),0)</f>
        <v>26.25</v>
      </c>
      <c r="K332" s="90">
        <f>I332-F332</f>
        <v>-52452.27</v>
      </c>
      <c r="L332" s="90">
        <f>(H332-E332)/1000</f>
        <v>-4.298</v>
      </c>
      <c r="M332" s="55" t="s">
        <v>1277</v>
      </c>
      <c r="O332" s="19">
        <f>K332/F332</f>
        <v>-0.99205632744726113</v>
      </c>
      <c r="P332" s="19">
        <f>L332/(E332/1000)</f>
        <v>-0.99629114510894756</v>
      </c>
      <c r="R332" s="20" t="s">
        <v>1601</v>
      </c>
      <c r="T332">
        <v>9669</v>
      </c>
      <c r="U332">
        <v>181444</v>
      </c>
      <c r="V332" s="18">
        <f t="shared" si="42"/>
        <v>18.76553935257007</v>
      </c>
      <c r="W332" s="62">
        <f t="shared" si="43"/>
        <v>-128571.73000000001</v>
      </c>
      <c r="X332" s="19">
        <f t="shared" si="44"/>
        <v>-2.4317421968075141</v>
      </c>
      <c r="Y332" s="63"/>
    </row>
    <row r="333" spans="2:25" x14ac:dyDescent="0.35">
      <c r="B333" s="66" t="s">
        <v>1595</v>
      </c>
      <c r="C333" s="67" t="s">
        <v>1537</v>
      </c>
      <c r="D333" s="68" t="s">
        <v>1589</v>
      </c>
      <c r="E333" s="60">
        <v>20760</v>
      </c>
      <c r="F333" s="60">
        <v>176447.9</v>
      </c>
      <c r="G333" s="56">
        <f>IFERROR((F333/E333),0)</f>
        <v>8.4994171483622356</v>
      </c>
      <c r="H333" s="1">
        <v>12310</v>
      </c>
      <c r="I333" s="1">
        <v>121474</v>
      </c>
      <c r="J333" s="64">
        <f>IFERROR((I333/H333),0)</f>
        <v>9.8679122664500412</v>
      </c>
      <c r="K333" s="90">
        <f>I333-F333</f>
        <v>-54973.899999999994</v>
      </c>
      <c r="L333" s="90">
        <f>(H333-E333)/1000</f>
        <v>-8.4499999999999993</v>
      </c>
      <c r="M333" s="55" t="s">
        <v>1061</v>
      </c>
      <c r="O333" s="19">
        <f>K333/F333</f>
        <v>-0.31155882274597768</v>
      </c>
      <c r="P333" s="19">
        <f>L333/(E333/1000)</f>
        <v>-0.40703275529865118</v>
      </c>
      <c r="R333" s="20" t="s">
        <v>1315</v>
      </c>
      <c r="T333">
        <v>1119</v>
      </c>
      <c r="U333">
        <v>11314</v>
      </c>
      <c r="V333" s="18">
        <f t="shared" si="42"/>
        <v>10.110813226094727</v>
      </c>
      <c r="W333" s="62">
        <f t="shared" si="43"/>
        <v>165133.9</v>
      </c>
      <c r="X333" s="19">
        <f t="shared" si="44"/>
        <v>0.93587908952160948</v>
      </c>
      <c r="Y333" s="63"/>
    </row>
    <row r="334" spans="2:25" x14ac:dyDescent="0.35">
      <c r="B334" s="66" t="s">
        <v>1394</v>
      </c>
      <c r="C334" s="67" t="s">
        <v>1446</v>
      </c>
      <c r="D334" s="68" t="s">
        <v>1364</v>
      </c>
      <c r="E334" s="60">
        <v>15570</v>
      </c>
      <c r="F334" s="60">
        <v>321181.7</v>
      </c>
      <c r="G334" s="56">
        <f>IFERROR((F334/E334),0)</f>
        <v>20.628240205523444</v>
      </c>
      <c r="H334" s="1">
        <v>13317</v>
      </c>
      <c r="I334" s="1">
        <v>264337</v>
      </c>
      <c r="J334" s="64">
        <f>IFERROR((I334/H334),0)</f>
        <v>19.849590748667119</v>
      </c>
      <c r="K334" s="90">
        <f>I334-F334</f>
        <v>-56844.700000000012</v>
      </c>
      <c r="L334" s="90">
        <f>(H334-E334)/1000</f>
        <v>-2.2530000000000001</v>
      </c>
      <c r="M334" s="55" t="s">
        <v>1061</v>
      </c>
      <c r="O334" s="19">
        <f>K334/F334</f>
        <v>-0.17698611097705758</v>
      </c>
      <c r="P334" s="19">
        <f>L334/(E334/1000)</f>
        <v>-0.14470134874759152</v>
      </c>
      <c r="R334" s="20" t="s">
        <v>1315</v>
      </c>
      <c r="T334">
        <v>6726</v>
      </c>
      <c r="U334">
        <v>65626</v>
      </c>
      <c r="V334" s="18">
        <f t="shared" si="42"/>
        <v>9.7570621468926557</v>
      </c>
      <c r="W334" s="62">
        <f t="shared" si="43"/>
        <v>255555.7</v>
      </c>
      <c r="X334" s="19">
        <f t="shared" si="44"/>
        <v>0.79567329022793021</v>
      </c>
      <c r="Y334" s="63"/>
    </row>
    <row r="335" spans="2:25" x14ac:dyDescent="0.35">
      <c r="B335" s="66" t="s">
        <v>829</v>
      </c>
      <c r="C335" s="67" t="s">
        <v>590</v>
      </c>
      <c r="D335" s="68" t="s">
        <v>128</v>
      </c>
      <c r="E335" s="59">
        <v>12043</v>
      </c>
      <c r="F335" s="59">
        <v>167860.7</v>
      </c>
      <c r="G335" s="34">
        <f>IFERROR((F335/E335),0)</f>
        <v>13.938445570040688</v>
      </c>
      <c r="H335" s="1">
        <v>7011</v>
      </c>
      <c r="I335" s="1">
        <v>110224</v>
      </c>
      <c r="J335" s="64">
        <f>IFERROR((I335/H335),0)</f>
        <v>15.721580373698474</v>
      </c>
      <c r="K335" s="90">
        <f>I335-F335</f>
        <v>-57636.700000000012</v>
      </c>
      <c r="L335" s="90">
        <f>(H335-E335)/1000</f>
        <v>-5.032</v>
      </c>
      <c r="M335" s="55" t="s">
        <v>1061</v>
      </c>
      <c r="O335" s="19">
        <f>K335/F335</f>
        <v>-0.34336029815197966</v>
      </c>
      <c r="P335" s="19">
        <f>L335/(E335/1000)</f>
        <v>-0.41783608735364947</v>
      </c>
      <c r="R335" s="20" t="s">
        <v>1281</v>
      </c>
      <c r="T335">
        <v>2014</v>
      </c>
      <c r="U335">
        <v>44494</v>
      </c>
      <c r="V335" s="18">
        <f t="shared" si="42"/>
        <v>22.092353525322739</v>
      </c>
      <c r="W335" s="62">
        <f t="shared" si="43"/>
        <v>123366.70000000001</v>
      </c>
      <c r="X335" s="19">
        <f t="shared" si="44"/>
        <v>0.73493497882470404</v>
      </c>
      <c r="Y335" s="63"/>
    </row>
    <row r="336" spans="2:25" x14ac:dyDescent="0.35">
      <c r="B336" s="66" t="s">
        <v>1595</v>
      </c>
      <c r="C336" s="67" t="s">
        <v>1501</v>
      </c>
      <c r="D336" s="68" t="s">
        <v>1553</v>
      </c>
      <c r="E336" s="60">
        <v>10941</v>
      </c>
      <c r="F336" s="60">
        <v>167742.9</v>
      </c>
      <c r="G336" s="34">
        <f>IFERROR((F336/E336),0)</f>
        <v>15.331587606251713</v>
      </c>
      <c r="H336" s="1">
        <v>4983</v>
      </c>
      <c r="I336" s="1">
        <v>108277</v>
      </c>
      <c r="J336" s="64">
        <f>IFERROR((I336/H336),0)</f>
        <v>21.729279550471603</v>
      </c>
      <c r="K336" s="90">
        <f>I336-F336</f>
        <v>-59465.899999999994</v>
      </c>
      <c r="L336" s="90">
        <f>(H336-E336)/1000</f>
        <v>-5.9580000000000002</v>
      </c>
      <c r="M336" s="55" t="s">
        <v>1061</v>
      </c>
      <c r="O336" s="19">
        <f>K336/F336</f>
        <v>-0.35450621158928336</v>
      </c>
      <c r="P336" s="19">
        <f>L336/(E336/1000)</f>
        <v>-0.54455717027693995</v>
      </c>
      <c r="R336" s="20" t="s">
        <v>1283</v>
      </c>
      <c r="T336">
        <v>0</v>
      </c>
      <c r="U336">
        <v>0</v>
      </c>
      <c r="V336" s="18">
        <f t="shared" si="42"/>
        <v>0</v>
      </c>
      <c r="W336" s="62">
        <f t="shared" si="43"/>
        <v>167742.9</v>
      </c>
      <c r="X336" s="19">
        <f t="shared" si="44"/>
        <v>1</v>
      </c>
      <c r="Y336" s="63"/>
    </row>
    <row r="337" spans="2:25" x14ac:dyDescent="0.35">
      <c r="B337" s="66" t="s">
        <v>1061</v>
      </c>
      <c r="C337" s="67" t="s">
        <v>445</v>
      </c>
      <c r="D337" s="68" t="s">
        <v>75</v>
      </c>
      <c r="E337" s="59">
        <v>14504</v>
      </c>
      <c r="F337" s="59">
        <v>103033.3</v>
      </c>
      <c r="G337" s="56">
        <f>IFERROR((F337/E337),0)</f>
        <v>7.1037851627137343</v>
      </c>
      <c r="H337" s="1">
        <v>5763</v>
      </c>
      <c r="I337" s="1">
        <v>40835</v>
      </c>
      <c r="J337" s="64">
        <f>IFERROR((I337/H337),0)</f>
        <v>7.0857192434495921</v>
      </c>
      <c r="K337" s="90">
        <f>I337-F337</f>
        <v>-62198.3</v>
      </c>
      <c r="L337" s="90">
        <f>(H337-E337)/1000</f>
        <v>-8.7409999999999997</v>
      </c>
      <c r="M337" s="55" t="s">
        <v>1061</v>
      </c>
      <c r="O337" s="19">
        <f>K337/F337</f>
        <v>-0.6036718226049248</v>
      </c>
      <c r="P337" s="19">
        <f>L337/(E337/1000)</f>
        <v>-0.60266133480419193</v>
      </c>
      <c r="R337" s="20" t="s">
        <v>1062</v>
      </c>
      <c r="T337">
        <v>0</v>
      </c>
      <c r="U337">
        <v>0</v>
      </c>
      <c r="V337" s="18">
        <f t="shared" si="42"/>
        <v>0</v>
      </c>
      <c r="W337" s="62">
        <f t="shared" si="43"/>
        <v>103033.3</v>
      </c>
      <c r="X337" s="19">
        <f t="shared" si="44"/>
        <v>1</v>
      </c>
      <c r="Y337" s="63"/>
    </row>
    <row r="338" spans="2:25" x14ac:dyDescent="0.35">
      <c r="B338" s="66" t="s">
        <v>976</v>
      </c>
      <c r="C338" s="67" t="s">
        <v>875</v>
      </c>
      <c r="D338" s="68" t="s">
        <v>876</v>
      </c>
      <c r="E338" s="59">
        <v>6272</v>
      </c>
      <c r="F338" s="59">
        <v>62415.83</v>
      </c>
      <c r="G338" s="56">
        <f>IFERROR((F338/E338),0)</f>
        <v>9.9515035076530616</v>
      </c>
      <c r="H338" s="1">
        <v>0</v>
      </c>
      <c r="I338" s="1">
        <v>0</v>
      </c>
      <c r="J338" s="64">
        <f>IFERROR((I338/H338),0)</f>
        <v>0</v>
      </c>
      <c r="K338" s="90">
        <f>I338-F338</f>
        <v>-62415.83</v>
      </c>
      <c r="L338" s="90">
        <f>(H338-E338)/1000</f>
        <v>-6.2720000000000002</v>
      </c>
      <c r="M338" s="55" t="s">
        <v>845</v>
      </c>
      <c r="O338" s="19">
        <f>K338/F338</f>
        <v>-1</v>
      </c>
      <c r="P338" s="19">
        <f>L338/(E338/1000)</f>
        <v>-1</v>
      </c>
      <c r="R338" s="20" t="s">
        <v>1601</v>
      </c>
      <c r="T338">
        <v>0</v>
      </c>
      <c r="U338">
        <v>0</v>
      </c>
      <c r="V338" s="18">
        <f t="shared" si="42"/>
        <v>0</v>
      </c>
      <c r="W338" s="62">
        <f t="shared" si="43"/>
        <v>62415.83</v>
      </c>
      <c r="X338" s="19">
        <f t="shared" si="44"/>
        <v>1</v>
      </c>
      <c r="Y338" s="63"/>
    </row>
    <row r="339" spans="2:25" x14ac:dyDescent="0.35">
      <c r="B339" s="66" t="s">
        <v>1595</v>
      </c>
      <c r="C339" s="67" t="s">
        <v>1495</v>
      </c>
      <c r="D339" s="68" t="s">
        <v>1546</v>
      </c>
      <c r="E339" s="60">
        <v>3801</v>
      </c>
      <c r="F339" s="60">
        <v>64819.28</v>
      </c>
      <c r="G339" s="34">
        <f>IFERROR((F339/E339),0)</f>
        <v>17.053217574322545</v>
      </c>
      <c r="H339" s="1">
        <v>0</v>
      </c>
      <c r="I339" s="1">
        <v>0</v>
      </c>
      <c r="J339" s="64">
        <f>IFERROR((I339/H339),0)</f>
        <v>0</v>
      </c>
      <c r="K339" s="90">
        <f>I339-F339</f>
        <v>-64819.28</v>
      </c>
      <c r="L339" s="90">
        <f>(H339-E339)/1000</f>
        <v>-3.8010000000000002</v>
      </c>
      <c r="M339" s="55" t="s">
        <v>845</v>
      </c>
      <c r="O339" s="19">
        <f>K339/F339</f>
        <v>-1</v>
      </c>
      <c r="P339" s="19">
        <f>L339/(E339/1000)</f>
        <v>-1</v>
      </c>
      <c r="R339" s="20" t="s">
        <v>1297</v>
      </c>
      <c r="T339">
        <v>0</v>
      </c>
      <c r="U339">
        <v>0</v>
      </c>
      <c r="V339" s="18">
        <f t="shared" si="42"/>
        <v>0</v>
      </c>
      <c r="W339" s="62">
        <f t="shared" si="43"/>
        <v>64819.28</v>
      </c>
      <c r="X339" s="19">
        <f t="shared" si="44"/>
        <v>1</v>
      </c>
      <c r="Y339" s="63"/>
    </row>
    <row r="340" spans="2:25" x14ac:dyDescent="0.35">
      <c r="B340" s="66" t="s">
        <v>1595</v>
      </c>
      <c r="C340" s="67" t="s">
        <v>1524</v>
      </c>
      <c r="D340" s="68" t="s">
        <v>1575</v>
      </c>
      <c r="E340" s="60">
        <v>9787</v>
      </c>
      <c r="F340" s="60">
        <v>103887</v>
      </c>
      <c r="G340" s="34">
        <f>IFERROR((F340/E340),0)</f>
        <v>10.614795136405435</v>
      </c>
      <c r="H340" s="1">
        <v>2941</v>
      </c>
      <c r="I340" s="1">
        <v>34165</v>
      </c>
      <c r="J340" s="64">
        <f>IFERROR((I340/H340),0)</f>
        <v>11.61679700782047</v>
      </c>
      <c r="K340" s="90">
        <f>I340-F340</f>
        <v>-69722</v>
      </c>
      <c r="L340" s="90">
        <f>(H340-E340)/1000</f>
        <v>-6.8460000000000001</v>
      </c>
      <c r="M340" s="55" t="s">
        <v>1061</v>
      </c>
      <c r="O340" s="19">
        <f>K340/F340</f>
        <v>-0.67113305803421019</v>
      </c>
      <c r="P340" s="19">
        <f>L340/(E340/1000)</f>
        <v>-0.6994993358536834</v>
      </c>
      <c r="R340" s="20" t="s">
        <v>1316</v>
      </c>
      <c r="T340">
        <v>0</v>
      </c>
      <c r="U340">
        <v>0</v>
      </c>
      <c r="V340" s="18">
        <f t="shared" si="42"/>
        <v>0</v>
      </c>
      <c r="W340" s="62">
        <f t="shared" si="43"/>
        <v>103887</v>
      </c>
      <c r="X340" s="19">
        <f t="shared" si="44"/>
        <v>1</v>
      </c>
      <c r="Y340" s="63"/>
    </row>
    <row r="341" spans="2:25" x14ac:dyDescent="0.35">
      <c r="B341" s="66" t="s">
        <v>1219</v>
      </c>
      <c r="C341" s="67" t="s">
        <v>1102</v>
      </c>
      <c r="D341" s="68" t="s">
        <v>1192</v>
      </c>
      <c r="E341" s="60">
        <v>22621</v>
      </c>
      <c r="F341" s="60">
        <v>194979.7</v>
      </c>
      <c r="G341" s="34">
        <f>IFERROR((F341/E341),0)</f>
        <v>8.6194111666150928</v>
      </c>
      <c r="H341" s="1">
        <v>13976</v>
      </c>
      <c r="I341" s="1">
        <v>122669</v>
      </c>
      <c r="J341" s="64">
        <f>IFERROR((I341/H341),0)</f>
        <v>8.7771179164281623</v>
      </c>
      <c r="K341" s="90">
        <f>I341-F341</f>
        <v>-72310.700000000012</v>
      </c>
      <c r="L341" s="90">
        <f>(H341-E341)/1000</f>
        <v>-8.6449999999999996</v>
      </c>
      <c r="M341" s="55" t="s">
        <v>1061</v>
      </c>
      <c r="O341" s="19">
        <f>K341/F341</f>
        <v>-0.37086271032317725</v>
      </c>
      <c r="P341" s="19">
        <f>L341/(E341/1000)</f>
        <v>-0.38216701295256622</v>
      </c>
      <c r="R341" s="20" t="s">
        <v>1310</v>
      </c>
      <c r="T341">
        <v>0</v>
      </c>
      <c r="U341">
        <v>0</v>
      </c>
      <c r="V341" s="18">
        <f t="shared" si="42"/>
        <v>0</v>
      </c>
      <c r="W341" s="62">
        <f t="shared" si="43"/>
        <v>194979.7</v>
      </c>
      <c r="X341" s="19">
        <f t="shared" si="44"/>
        <v>1</v>
      </c>
      <c r="Y341" s="63"/>
    </row>
    <row r="342" spans="2:25" x14ac:dyDescent="0.35">
      <c r="B342" s="66" t="s">
        <v>1061</v>
      </c>
      <c r="C342" s="67" t="s">
        <v>767</v>
      </c>
      <c r="D342" s="68" t="s">
        <v>368</v>
      </c>
      <c r="E342" s="60">
        <v>67664</v>
      </c>
      <c r="F342" s="60">
        <v>281395.5</v>
      </c>
      <c r="G342" s="34">
        <f>IFERROR((F342/E342),0)</f>
        <v>4.1587180775597066</v>
      </c>
      <c r="H342" s="1">
        <v>63144</v>
      </c>
      <c r="I342" s="1">
        <v>208134</v>
      </c>
      <c r="J342" s="64">
        <f>IFERROR((I342/H342),0)</f>
        <v>3.2961801596351199</v>
      </c>
      <c r="K342" s="90">
        <f>I342-F342</f>
        <v>-73261.5</v>
      </c>
      <c r="L342" s="90">
        <f>(H342-E342)/1000</f>
        <v>-4.5199999999999996</v>
      </c>
      <c r="M342" s="55" t="s">
        <v>1061</v>
      </c>
      <c r="O342" s="19">
        <f>K342/F342</f>
        <v>-0.26035064526618229</v>
      </c>
      <c r="P342" s="19">
        <f>L342/(E342/1000)</f>
        <v>-6.6800662095057931E-2</v>
      </c>
      <c r="R342" s="20" t="s">
        <v>1062</v>
      </c>
      <c r="T342">
        <v>0</v>
      </c>
      <c r="U342">
        <v>0</v>
      </c>
      <c r="V342" s="18">
        <f t="shared" si="42"/>
        <v>0</v>
      </c>
      <c r="W342" s="62">
        <f t="shared" si="43"/>
        <v>281395.5</v>
      </c>
      <c r="X342" s="19">
        <f t="shared" si="44"/>
        <v>1</v>
      </c>
      <c r="Y342" s="63"/>
    </row>
    <row r="343" spans="2:25" x14ac:dyDescent="0.35">
      <c r="B343" s="66" t="s">
        <v>1394</v>
      </c>
      <c r="C343" s="67" t="s">
        <v>1430</v>
      </c>
      <c r="D343" s="68" t="s">
        <v>1358</v>
      </c>
      <c r="E343" s="59">
        <v>19001</v>
      </c>
      <c r="F343" s="59">
        <v>229475.1</v>
      </c>
      <c r="G343" s="34">
        <f>IFERROR((F343/E343),0)</f>
        <v>12.077001210462608</v>
      </c>
      <c r="H343" s="1">
        <v>8983</v>
      </c>
      <c r="I343" s="1">
        <v>154844</v>
      </c>
      <c r="J343" s="64">
        <f>IFERROR((I343/H343),0)</f>
        <v>17.237448513859512</v>
      </c>
      <c r="K343" s="90">
        <f>I343-F343</f>
        <v>-74631.100000000006</v>
      </c>
      <c r="L343" s="90">
        <f>(H343-E343)/1000</f>
        <v>-10.018000000000001</v>
      </c>
      <c r="M343" s="55" t="s">
        <v>1061</v>
      </c>
      <c r="O343" s="19">
        <f>K343/F343</f>
        <v>-0.32522526409183394</v>
      </c>
      <c r="P343" s="19">
        <f>L343/(E343/1000)</f>
        <v>-0.52723540866270191</v>
      </c>
      <c r="R343" s="20" t="s">
        <v>1288</v>
      </c>
      <c r="T343">
        <v>27432</v>
      </c>
      <c r="U343">
        <v>370994</v>
      </c>
      <c r="V343" s="18">
        <f t="shared" si="42"/>
        <v>13.524132400116653</v>
      </c>
      <c r="W343" s="62">
        <f t="shared" si="43"/>
        <v>-141518.9</v>
      </c>
      <c r="X343" s="19">
        <f t="shared" si="44"/>
        <v>-0.61670699783985272</v>
      </c>
      <c r="Y343" s="63"/>
    </row>
    <row r="344" spans="2:25" x14ac:dyDescent="0.35">
      <c r="B344" s="66" t="s">
        <v>819</v>
      </c>
      <c r="C344" s="67" t="s">
        <v>1010</v>
      </c>
      <c r="D344" s="68" t="s">
        <v>82</v>
      </c>
      <c r="E344" s="60">
        <v>9767</v>
      </c>
      <c r="F344" s="60">
        <v>149082.29999999999</v>
      </c>
      <c r="G344" s="34">
        <f>IFERROR((F344/E344),0)</f>
        <v>15.263878365926077</v>
      </c>
      <c r="H344" s="1">
        <v>2307</v>
      </c>
      <c r="I344" s="1">
        <v>73345</v>
      </c>
      <c r="J344" s="64">
        <f>IFERROR((I344/H344),0)</f>
        <v>31.792371044646728</v>
      </c>
      <c r="K344" s="90">
        <f>I344-F344</f>
        <v>-75737.299999999988</v>
      </c>
      <c r="L344" s="90">
        <f>(H344-E344)/1000</f>
        <v>-7.46</v>
      </c>
      <c r="M344" s="55" t="s">
        <v>1061</v>
      </c>
      <c r="O344" s="19">
        <f>K344/F344</f>
        <v>-0.50802342062069072</v>
      </c>
      <c r="P344" s="19">
        <f>L344/(E344/1000)</f>
        <v>-0.76379645745878988</v>
      </c>
      <c r="R344" s="20" t="s">
        <v>1298</v>
      </c>
      <c r="T344">
        <v>0</v>
      </c>
      <c r="U344">
        <v>0</v>
      </c>
      <c r="V344" s="18">
        <f t="shared" si="42"/>
        <v>0</v>
      </c>
      <c r="W344" s="62">
        <f t="shared" si="43"/>
        <v>149082.29999999999</v>
      </c>
      <c r="X344" s="19">
        <f t="shared" si="44"/>
        <v>1</v>
      </c>
      <c r="Y344" s="63"/>
    </row>
    <row r="345" spans="2:25" x14ac:dyDescent="0.35">
      <c r="B345" s="66" t="s">
        <v>1219</v>
      </c>
      <c r="C345" s="67" t="s">
        <v>1141</v>
      </c>
      <c r="D345" s="68" t="s">
        <v>1161</v>
      </c>
      <c r="E345" s="60">
        <v>60138</v>
      </c>
      <c r="F345" s="60">
        <v>890658.3</v>
      </c>
      <c r="G345" s="34">
        <f>IFERROR((F345/E345),0)</f>
        <v>14.810241444677244</v>
      </c>
      <c r="H345" s="1">
        <v>42986</v>
      </c>
      <c r="I345" s="1">
        <v>814335</v>
      </c>
      <c r="J345" s="64">
        <f>IFERROR((I345/H345),0)</f>
        <v>18.944191131996465</v>
      </c>
      <c r="K345" s="90">
        <f>I345-F345</f>
        <v>-76323.300000000047</v>
      </c>
      <c r="L345" s="90">
        <f>(H345-E345)/1000</f>
        <v>-17.152000000000001</v>
      </c>
      <c r="M345" s="55" t="s">
        <v>1061</v>
      </c>
      <c r="O345" s="19">
        <f>K345/F345</f>
        <v>-8.5693132820970783E-2</v>
      </c>
      <c r="P345" s="19">
        <f>L345/(E345/1000)</f>
        <v>-0.28521068209784167</v>
      </c>
      <c r="R345" s="20" t="s">
        <v>1315</v>
      </c>
      <c r="T345">
        <v>0</v>
      </c>
      <c r="U345">
        <v>0</v>
      </c>
      <c r="V345" s="18">
        <f t="shared" si="42"/>
        <v>0</v>
      </c>
      <c r="W345" s="62">
        <f t="shared" si="43"/>
        <v>890658.3</v>
      </c>
      <c r="X345" s="19">
        <f t="shared" si="44"/>
        <v>1</v>
      </c>
      <c r="Y345" s="63"/>
    </row>
    <row r="346" spans="2:25" x14ac:dyDescent="0.35">
      <c r="B346" s="66" t="s">
        <v>825</v>
      </c>
      <c r="C346" s="67" t="s">
        <v>601</v>
      </c>
      <c r="D346" s="68" t="s">
        <v>152</v>
      </c>
      <c r="E346" s="60">
        <v>7780</v>
      </c>
      <c r="F346" s="60">
        <v>78140.47</v>
      </c>
      <c r="G346" s="34">
        <f>IFERROR((F346/E346),0)</f>
        <v>10.043762210796915</v>
      </c>
      <c r="H346" s="1">
        <v>0</v>
      </c>
      <c r="I346" s="1">
        <v>0</v>
      </c>
      <c r="J346" s="64">
        <f>IFERROR((I346/H346),0)</f>
        <v>0</v>
      </c>
      <c r="K346" s="90">
        <f>I346-F346</f>
        <v>-78140.47</v>
      </c>
      <c r="L346" s="90">
        <f>(H346-E346)/1000</f>
        <v>-7.78</v>
      </c>
      <c r="M346" s="55" t="s">
        <v>845</v>
      </c>
      <c r="O346" s="19">
        <f>K346/F346</f>
        <v>-1</v>
      </c>
      <c r="P346" s="19">
        <f>L346/(E346/1000)</f>
        <v>-1</v>
      </c>
      <c r="R346" s="20" t="s">
        <v>1601</v>
      </c>
      <c r="T346">
        <v>948</v>
      </c>
      <c r="U346">
        <v>40231</v>
      </c>
      <c r="V346" s="18">
        <f t="shared" si="42"/>
        <v>42.437763713080166</v>
      </c>
      <c r="W346" s="62">
        <f t="shared" si="43"/>
        <v>37909.47</v>
      </c>
      <c r="X346" s="19">
        <f t="shared" si="44"/>
        <v>0.48514514949807702</v>
      </c>
      <c r="Y346" s="63" t="s">
        <v>1277</v>
      </c>
    </row>
    <row r="347" spans="2:25" x14ac:dyDescent="0.35">
      <c r="B347" s="66" t="s">
        <v>976</v>
      </c>
      <c r="C347" s="67" t="s">
        <v>962</v>
      </c>
      <c r="D347" s="68" t="s">
        <v>963</v>
      </c>
      <c r="E347" s="60">
        <v>48431</v>
      </c>
      <c r="F347" s="60">
        <v>478933.3</v>
      </c>
      <c r="G347" s="34">
        <f>IFERROR((F347/E347),0)</f>
        <v>9.8889822634263176</v>
      </c>
      <c r="H347" s="1">
        <v>38347</v>
      </c>
      <c r="I347" s="1">
        <v>397672</v>
      </c>
      <c r="J347" s="64">
        <f>IFERROR((I347/H347),0)</f>
        <v>10.370354916942656</v>
      </c>
      <c r="K347" s="90">
        <f>I347-F347</f>
        <v>-81261.299999999988</v>
      </c>
      <c r="L347" s="90">
        <f>(H347-E347)/1000</f>
        <v>-10.084</v>
      </c>
      <c r="M347" s="55" t="s">
        <v>1061</v>
      </c>
      <c r="O347" s="19">
        <f>K347/F347</f>
        <v>-0.16967143441477131</v>
      </c>
      <c r="P347" s="19">
        <f>L347/(E347/1000)</f>
        <v>-0.20821374739319856</v>
      </c>
      <c r="R347" s="20" t="s">
        <v>1601</v>
      </c>
      <c r="T347">
        <v>10697</v>
      </c>
      <c r="U347">
        <v>110130</v>
      </c>
      <c r="V347" s="18">
        <f t="shared" si="42"/>
        <v>10.2954099280172</v>
      </c>
      <c r="W347" s="62">
        <f t="shared" si="43"/>
        <v>368803.3</v>
      </c>
      <c r="X347" s="19">
        <f t="shared" si="44"/>
        <v>0.7700514873365456</v>
      </c>
      <c r="Y347" s="63" t="s">
        <v>1066</v>
      </c>
    </row>
    <row r="348" spans="2:25" x14ac:dyDescent="0.35">
      <c r="B348" s="66" t="s">
        <v>1219</v>
      </c>
      <c r="C348" s="67" t="s">
        <v>1122</v>
      </c>
      <c r="D348" s="68" t="s">
        <v>1155</v>
      </c>
      <c r="E348" s="60">
        <v>12279</v>
      </c>
      <c r="F348" s="60">
        <v>124882.8</v>
      </c>
      <c r="G348" s="34">
        <f>IFERROR((F348/E348),0)</f>
        <v>10.170437332030296</v>
      </c>
      <c r="H348" s="1">
        <v>3533</v>
      </c>
      <c r="I348" s="1">
        <v>43476</v>
      </c>
      <c r="J348" s="64">
        <f>IFERROR((I348/H348),0)</f>
        <v>12.305689215963771</v>
      </c>
      <c r="K348" s="90">
        <f>I348-F348</f>
        <v>-81406.8</v>
      </c>
      <c r="L348" s="90">
        <f>(H348-E348)/1000</f>
        <v>-8.7460000000000004</v>
      </c>
      <c r="M348" s="55" t="s">
        <v>1061</v>
      </c>
      <c r="O348" s="19">
        <f>K348/F348</f>
        <v>-0.6518655891764118</v>
      </c>
      <c r="P348" s="19">
        <f>L348/(E348/1000)</f>
        <v>-0.71227298639954395</v>
      </c>
      <c r="R348" s="20" t="s">
        <v>1300</v>
      </c>
      <c r="T348">
        <v>0</v>
      </c>
      <c r="U348">
        <v>0</v>
      </c>
      <c r="V348" s="18">
        <f t="shared" si="42"/>
        <v>0</v>
      </c>
      <c r="W348" s="62">
        <f t="shared" si="43"/>
        <v>124882.8</v>
      </c>
      <c r="X348" s="19">
        <f t="shared" si="44"/>
        <v>1</v>
      </c>
      <c r="Y348" s="63"/>
    </row>
    <row r="349" spans="2:25" x14ac:dyDescent="0.35">
      <c r="B349" s="66" t="s">
        <v>810</v>
      </c>
      <c r="C349" s="67" t="s">
        <v>700</v>
      </c>
      <c r="D349" s="68" t="s">
        <v>1421</v>
      </c>
      <c r="E349" s="60">
        <v>7047</v>
      </c>
      <c r="F349" s="60">
        <v>82427.13</v>
      </c>
      <c r="G349" s="34">
        <f>IFERROR((F349/E349),0)</f>
        <v>11.696768837803321</v>
      </c>
      <c r="H349" s="1">
        <v>0</v>
      </c>
      <c r="I349" s="1">
        <v>0</v>
      </c>
      <c r="J349" s="64">
        <f>IFERROR((I349/H349),0)</f>
        <v>0</v>
      </c>
      <c r="K349" s="90">
        <f>I349-F349</f>
        <v>-82427.13</v>
      </c>
      <c r="L349" s="90">
        <f>(H349-E349)/1000</f>
        <v>-7.0469999999999997</v>
      </c>
      <c r="M349" s="55" t="s">
        <v>845</v>
      </c>
      <c r="O349" s="19">
        <f>K349/F349</f>
        <v>-1</v>
      </c>
      <c r="P349" s="19">
        <f>L349/(E349/1000)</f>
        <v>-1</v>
      </c>
      <c r="R349" s="20" t="s">
        <v>1286</v>
      </c>
      <c r="T349">
        <v>10124</v>
      </c>
      <c r="U349">
        <v>231551</v>
      </c>
      <c r="V349" s="18">
        <f t="shared" si="42"/>
        <v>22.871493480837614</v>
      </c>
      <c r="W349" s="62">
        <f t="shared" si="43"/>
        <v>-149123.87</v>
      </c>
      <c r="X349" s="19">
        <f t="shared" si="44"/>
        <v>-1.8091600423307228</v>
      </c>
      <c r="Y349" s="63"/>
    </row>
    <row r="350" spans="2:25" x14ac:dyDescent="0.35">
      <c r="B350" s="66" t="s">
        <v>822</v>
      </c>
      <c r="C350" s="67" t="s">
        <v>690</v>
      </c>
      <c r="D350" s="68" t="s">
        <v>131</v>
      </c>
      <c r="E350" s="60">
        <v>793</v>
      </c>
      <c r="F350" s="60">
        <v>84302.76</v>
      </c>
      <c r="G350" s="34">
        <f>IFERROR((F350/E350),0)</f>
        <v>106.30865069356872</v>
      </c>
      <c r="H350" s="1">
        <v>0</v>
      </c>
      <c r="I350" s="1">
        <v>0</v>
      </c>
      <c r="J350" s="64">
        <f>IFERROR((I350/H350),0)</f>
        <v>0</v>
      </c>
      <c r="K350" s="90">
        <f>I350-F350</f>
        <v>-84302.76</v>
      </c>
      <c r="L350" s="90">
        <f>(H350-E350)/1000</f>
        <v>-0.79300000000000004</v>
      </c>
      <c r="M350" s="55" t="s">
        <v>845</v>
      </c>
      <c r="O350" s="19">
        <f>K350/F350</f>
        <v>-1</v>
      </c>
      <c r="P350" s="19">
        <f>L350/(E350/1000)</f>
        <v>-1</v>
      </c>
      <c r="R350" s="20" t="s">
        <v>1601</v>
      </c>
      <c r="T350">
        <v>5737</v>
      </c>
      <c r="U350">
        <v>72041</v>
      </c>
      <c r="V350" s="18">
        <f t="shared" si="42"/>
        <v>12.557259891929579</v>
      </c>
      <c r="W350" s="62">
        <f t="shared" si="43"/>
        <v>12261.759999999995</v>
      </c>
      <c r="X350" s="19">
        <f t="shared" si="44"/>
        <v>0.1454490932443967</v>
      </c>
      <c r="Y350" s="63"/>
    </row>
    <row r="351" spans="2:25" x14ac:dyDescent="0.35">
      <c r="B351" s="66" t="s">
        <v>1595</v>
      </c>
      <c r="C351" s="67" t="s">
        <v>1528</v>
      </c>
      <c r="D351" s="68" t="s">
        <v>1579</v>
      </c>
      <c r="E351" s="60">
        <v>10347</v>
      </c>
      <c r="F351" s="60">
        <v>104646.5</v>
      </c>
      <c r="G351" s="34">
        <f>IFERROR((F351/E351),0)</f>
        <v>10.1137044553977</v>
      </c>
      <c r="H351" s="1">
        <v>2104</v>
      </c>
      <c r="I351" s="1">
        <v>16804</v>
      </c>
      <c r="J351" s="64">
        <f>IFERROR((I351/H351),0)</f>
        <v>7.9866920152091252</v>
      </c>
      <c r="K351" s="90">
        <f>I351-F351</f>
        <v>-87842.5</v>
      </c>
      <c r="L351" s="90">
        <f>(H351-E351)/1000</f>
        <v>-8.2430000000000003</v>
      </c>
      <c r="M351" s="55" t="s">
        <v>1277</v>
      </c>
      <c r="O351" s="19">
        <f>K351/F351</f>
        <v>-0.83942128977079977</v>
      </c>
      <c r="P351" s="19">
        <f>L351/(E351/1000)</f>
        <v>-0.79665603556586462</v>
      </c>
      <c r="R351" s="20" t="s">
        <v>1316</v>
      </c>
      <c r="T351">
        <v>212</v>
      </c>
      <c r="U351">
        <v>23295</v>
      </c>
      <c r="V351" s="18">
        <f t="shared" si="42"/>
        <v>109.88207547169812</v>
      </c>
      <c r="W351" s="62">
        <f t="shared" si="43"/>
        <v>81351.5</v>
      </c>
      <c r="X351" s="19">
        <f t="shared" si="44"/>
        <v>0.77739341497326719</v>
      </c>
      <c r="Y351" s="63" t="s">
        <v>1277</v>
      </c>
    </row>
    <row r="352" spans="2:25" x14ac:dyDescent="0.35">
      <c r="B352" s="66" t="s">
        <v>837</v>
      </c>
      <c r="C352" s="67" t="s">
        <v>940</v>
      </c>
      <c r="D352" s="68" t="s">
        <v>941</v>
      </c>
      <c r="E352" s="60">
        <v>9416</v>
      </c>
      <c r="F352" s="60">
        <v>257742.1</v>
      </c>
      <c r="G352" s="34">
        <f>IFERROR((F352/E352),0)</f>
        <v>27.372780373831777</v>
      </c>
      <c r="H352" s="1">
        <v>16860</v>
      </c>
      <c r="I352" s="1">
        <v>167770</v>
      </c>
      <c r="J352" s="64">
        <f>IFERROR((I352/H352),0)</f>
        <v>9.9507710557532629</v>
      </c>
      <c r="K352" s="90">
        <f>I352-F352</f>
        <v>-89972.1</v>
      </c>
      <c r="L352" s="90">
        <f>(H352-E352)/1000</f>
        <v>7.444</v>
      </c>
      <c r="M352" s="55" t="s">
        <v>1061</v>
      </c>
      <c r="O352" s="19">
        <f>K352/F352</f>
        <v>-0.34907801247836501</v>
      </c>
      <c r="P352" s="19">
        <f>L352/(E352/1000)</f>
        <v>0.79056924384027183</v>
      </c>
      <c r="R352" s="20" t="s">
        <v>1288</v>
      </c>
      <c r="T352">
        <v>0</v>
      </c>
      <c r="U352">
        <v>0</v>
      </c>
      <c r="V352" s="18">
        <f t="shared" si="42"/>
        <v>0</v>
      </c>
      <c r="W352" s="62">
        <f t="shared" si="43"/>
        <v>257742.1</v>
      </c>
      <c r="X352" s="19">
        <f t="shared" si="44"/>
        <v>1</v>
      </c>
      <c r="Y352" s="63"/>
    </row>
    <row r="353" spans="2:25" x14ac:dyDescent="0.35">
      <c r="B353" s="66" t="s">
        <v>821</v>
      </c>
      <c r="C353" s="67" t="s">
        <v>633</v>
      </c>
      <c r="D353" s="68" t="s">
        <v>84</v>
      </c>
      <c r="E353" s="60">
        <v>4571</v>
      </c>
      <c r="F353" s="60">
        <v>94712.59</v>
      </c>
      <c r="G353" s="34">
        <f>IFERROR((F353/E353),0)</f>
        <v>20.720321592649309</v>
      </c>
      <c r="H353" s="1">
        <v>91</v>
      </c>
      <c r="I353" s="1">
        <v>3188</v>
      </c>
      <c r="J353" s="64">
        <f>IFERROR((I353/H353),0)</f>
        <v>35.032967032967036</v>
      </c>
      <c r="K353" s="90">
        <f>I353-F353</f>
        <v>-91524.59</v>
      </c>
      <c r="L353" s="90">
        <f>(H353-E353)/1000</f>
        <v>-4.4800000000000004</v>
      </c>
      <c r="M353" s="55" t="s">
        <v>1277</v>
      </c>
      <c r="O353" s="19">
        <f>K353/F353</f>
        <v>-0.96634027218556684</v>
      </c>
      <c r="P353" s="19">
        <f>L353/(E353/1000)</f>
        <v>-0.98009188361408894</v>
      </c>
      <c r="R353" s="20" t="s">
        <v>1601</v>
      </c>
      <c r="T353">
        <v>1314</v>
      </c>
      <c r="U353">
        <v>26752</v>
      </c>
      <c r="V353" s="18">
        <f t="shared" si="42"/>
        <v>20.359208523592084</v>
      </c>
      <c r="W353" s="62">
        <f t="shared" si="43"/>
        <v>67960.59</v>
      </c>
      <c r="X353" s="19">
        <f t="shared" si="44"/>
        <v>0.7175454709875424</v>
      </c>
      <c r="Y353" s="63" t="s">
        <v>1066</v>
      </c>
    </row>
    <row r="354" spans="2:25" x14ac:dyDescent="0.35">
      <c r="B354" s="66" t="s">
        <v>1219</v>
      </c>
      <c r="C354" s="67" t="s">
        <v>1130</v>
      </c>
      <c r="D354" s="68" t="s">
        <v>1173</v>
      </c>
      <c r="E354" s="60">
        <v>6296</v>
      </c>
      <c r="F354" s="60">
        <v>108651.7</v>
      </c>
      <c r="G354" s="34">
        <f>IFERROR((F354/E354),0)</f>
        <v>17.257258576874204</v>
      </c>
      <c r="H354" s="1">
        <v>805</v>
      </c>
      <c r="I354" s="1">
        <v>16772</v>
      </c>
      <c r="J354" s="64">
        <f>IFERROR((I354/H354),0)</f>
        <v>20.834782608695651</v>
      </c>
      <c r="K354" s="90">
        <f>I354-F354</f>
        <v>-91879.7</v>
      </c>
      <c r="L354" s="90">
        <f>(H354-E354)/1000</f>
        <v>-5.4909999999999997</v>
      </c>
      <c r="M354" s="55" t="s">
        <v>1277</v>
      </c>
      <c r="O354" s="19">
        <f>K354/F354</f>
        <v>-0.84563518104180602</v>
      </c>
      <c r="P354" s="19">
        <f>L354/(E354/1000)</f>
        <v>-0.87214104193138486</v>
      </c>
      <c r="R354" s="20" t="s">
        <v>1288</v>
      </c>
      <c r="T354">
        <v>0</v>
      </c>
      <c r="U354">
        <v>0</v>
      </c>
      <c r="V354" s="18">
        <f t="shared" si="42"/>
        <v>0</v>
      </c>
      <c r="W354" s="62">
        <f t="shared" si="43"/>
        <v>108651.7</v>
      </c>
      <c r="X354" s="19">
        <f t="shared" si="44"/>
        <v>1</v>
      </c>
      <c r="Y354" s="63"/>
    </row>
    <row r="355" spans="2:25" x14ac:dyDescent="0.35">
      <c r="B355" s="66" t="s">
        <v>822</v>
      </c>
      <c r="C355" s="67" t="s">
        <v>650</v>
      </c>
      <c r="D355" s="68" t="s">
        <v>30</v>
      </c>
      <c r="E355" s="60">
        <v>28709</v>
      </c>
      <c r="F355" s="60">
        <v>454265.7</v>
      </c>
      <c r="G355" s="34">
        <f>IFERROR((F355/E355),0)</f>
        <v>15.823111219478212</v>
      </c>
      <c r="H355" s="1">
        <v>24353</v>
      </c>
      <c r="I355" s="1">
        <v>361150</v>
      </c>
      <c r="J355" s="64">
        <f>IFERROR((I355/H355),0)</f>
        <v>14.829795097113292</v>
      </c>
      <c r="K355" s="90">
        <f>I355-F355</f>
        <v>-93115.700000000012</v>
      </c>
      <c r="L355" s="90">
        <f>(H355-E355)/1000</f>
        <v>-4.3559999999999999</v>
      </c>
      <c r="M355" s="55" t="s">
        <v>1061</v>
      </c>
      <c r="O355" s="19">
        <f>K355/F355</f>
        <v>-0.20498069742003416</v>
      </c>
      <c r="P355" s="19">
        <f>L355/(E355/1000)</f>
        <v>-0.15172942282907798</v>
      </c>
      <c r="R355" s="20" t="s">
        <v>1601</v>
      </c>
      <c r="T355">
        <v>0</v>
      </c>
      <c r="U355">
        <v>0</v>
      </c>
      <c r="V355" s="18">
        <f t="shared" si="42"/>
        <v>0</v>
      </c>
      <c r="W355" s="62">
        <f t="shared" si="43"/>
        <v>454265.7</v>
      </c>
      <c r="X355" s="19">
        <f t="shared" si="44"/>
        <v>1</v>
      </c>
      <c r="Y355" s="63"/>
    </row>
    <row r="356" spans="2:25" x14ac:dyDescent="0.35">
      <c r="B356" s="66" t="s">
        <v>829</v>
      </c>
      <c r="C356" s="67" t="s">
        <v>546</v>
      </c>
      <c r="D356" s="68" t="s">
        <v>118</v>
      </c>
      <c r="E356" s="60">
        <v>14536</v>
      </c>
      <c r="F356" s="60">
        <v>185147.3</v>
      </c>
      <c r="G356" s="34">
        <f>IFERROR((F356/E356),0)</f>
        <v>12.737156026417169</v>
      </c>
      <c r="H356" s="1">
        <v>9393</v>
      </c>
      <c r="I356" s="1">
        <v>92017</v>
      </c>
      <c r="J356" s="64">
        <f>IFERROR((I356/H356),0)</f>
        <v>9.7963376982859582</v>
      </c>
      <c r="K356" s="90">
        <f>I356-F356</f>
        <v>-93130.299999999988</v>
      </c>
      <c r="L356" s="90">
        <f>(H356-E356)/1000</f>
        <v>-5.1429999999999998</v>
      </c>
      <c r="M356" s="55" t="s">
        <v>1061</v>
      </c>
      <c r="O356" s="19">
        <f>K356/F356</f>
        <v>-0.50300652507489985</v>
      </c>
      <c r="P356" s="19">
        <f>L356/(E356/1000)</f>
        <v>-0.3538112272977435</v>
      </c>
      <c r="R356" s="20" t="s">
        <v>1298</v>
      </c>
      <c r="T356">
        <v>0</v>
      </c>
      <c r="U356">
        <v>0</v>
      </c>
      <c r="V356" s="18">
        <f t="shared" si="42"/>
        <v>0</v>
      </c>
      <c r="W356" s="62">
        <f t="shared" si="43"/>
        <v>185147.3</v>
      </c>
      <c r="X356" s="19">
        <f t="shared" si="44"/>
        <v>1</v>
      </c>
      <c r="Y356" s="63"/>
    </row>
    <row r="357" spans="2:25" x14ac:dyDescent="0.35">
      <c r="B357" s="66" t="s">
        <v>1219</v>
      </c>
      <c r="C357" s="67" t="s">
        <v>1145</v>
      </c>
      <c r="D357" s="68" t="s">
        <v>1180</v>
      </c>
      <c r="E357" s="60">
        <v>6782</v>
      </c>
      <c r="F357" s="60">
        <v>93842.36</v>
      </c>
      <c r="G357" s="34">
        <f>IFERROR((F357/E357),0)</f>
        <v>13.836974343851372</v>
      </c>
      <c r="H357" s="1">
        <v>0</v>
      </c>
      <c r="I357" s="1">
        <v>0</v>
      </c>
      <c r="J357" s="64">
        <f>IFERROR((I357/H357),0)</f>
        <v>0</v>
      </c>
      <c r="K357" s="90">
        <f>I357-F357</f>
        <v>-93842.36</v>
      </c>
      <c r="L357" s="90">
        <f>(H357-E357)/1000</f>
        <v>-6.782</v>
      </c>
      <c r="M357" s="55" t="s">
        <v>845</v>
      </c>
      <c r="O357" s="19">
        <f>K357/F357</f>
        <v>-1</v>
      </c>
      <c r="P357" s="19">
        <f>L357/(E357/1000)</f>
        <v>-1</v>
      </c>
      <c r="R357" s="20" t="s">
        <v>1301</v>
      </c>
      <c r="T357">
        <v>1391</v>
      </c>
      <c r="U357">
        <v>33310</v>
      </c>
      <c r="V357" s="18">
        <f t="shared" si="42"/>
        <v>23.946800862688715</v>
      </c>
      <c r="W357" s="62">
        <f t="shared" si="43"/>
        <v>60532.36</v>
      </c>
      <c r="X357" s="19">
        <f t="shared" si="44"/>
        <v>0.64504302747714359</v>
      </c>
      <c r="Y357" s="63"/>
    </row>
    <row r="358" spans="2:25" x14ac:dyDescent="0.35">
      <c r="B358" s="66" t="s">
        <v>1061</v>
      </c>
      <c r="C358" s="67" t="s">
        <v>433</v>
      </c>
      <c r="D358" s="68" t="s">
        <v>81</v>
      </c>
      <c r="E358" s="60">
        <v>46725</v>
      </c>
      <c r="F358" s="60">
        <v>536519.80000000005</v>
      </c>
      <c r="G358" s="34">
        <f>IFERROR((F358/E358),0)</f>
        <v>11.482499732477262</v>
      </c>
      <c r="H358" s="1">
        <v>29325.79</v>
      </c>
      <c r="I358" s="1">
        <v>442474</v>
      </c>
      <c r="J358" s="64">
        <f>IFERROR((I358/H358),0)</f>
        <v>15.088220982282147</v>
      </c>
      <c r="K358" s="90">
        <f>I358-F358</f>
        <v>-94045.800000000047</v>
      </c>
      <c r="L358" s="90">
        <f>(H358-E358)/1000</f>
        <v>-17.39921</v>
      </c>
      <c r="M358" s="55" t="s">
        <v>1061</v>
      </c>
      <c r="O358" s="19">
        <f>K358/F358</f>
        <v>-0.17528859139960917</v>
      </c>
      <c r="P358" s="19">
        <f>L358/(E358/1000)</f>
        <v>-0.37237474585339753</v>
      </c>
      <c r="R358" s="20" t="s">
        <v>1298</v>
      </c>
      <c r="T358">
        <v>0</v>
      </c>
      <c r="U358">
        <v>0</v>
      </c>
      <c r="V358" s="18">
        <f t="shared" si="42"/>
        <v>0</v>
      </c>
      <c r="W358" s="62">
        <f t="shared" si="43"/>
        <v>536519.80000000005</v>
      </c>
      <c r="X358" s="19">
        <f t="shared" si="44"/>
        <v>1</v>
      </c>
      <c r="Y358" s="63"/>
    </row>
    <row r="359" spans="2:25" x14ac:dyDescent="0.35">
      <c r="B359" s="66" t="s">
        <v>976</v>
      </c>
      <c r="C359" s="67" t="s">
        <v>948</v>
      </c>
      <c r="D359" s="68" t="s">
        <v>949</v>
      </c>
      <c r="E359" s="60">
        <v>44921</v>
      </c>
      <c r="F359" s="60">
        <v>456923.5</v>
      </c>
      <c r="G359" s="34">
        <f>IFERROR((F359/E359),0)</f>
        <v>10.171712562053383</v>
      </c>
      <c r="H359" s="1">
        <v>32755</v>
      </c>
      <c r="I359" s="1">
        <v>358812</v>
      </c>
      <c r="J359" s="64">
        <f>IFERROR((I359/H359),0)</f>
        <v>10.954419172645398</v>
      </c>
      <c r="K359" s="90">
        <f>I359-F359</f>
        <v>-98111.5</v>
      </c>
      <c r="L359" s="90">
        <f>(H359-E359)/1000</f>
        <v>-12.166</v>
      </c>
      <c r="M359" s="55" t="s">
        <v>1061</v>
      </c>
      <c r="O359" s="19">
        <f>K359/F359</f>
        <v>-0.21472193923052765</v>
      </c>
      <c r="P359" s="19">
        <f>L359/(E359/1000)</f>
        <v>-0.27083101444758578</v>
      </c>
      <c r="R359" s="20" t="s">
        <v>1601</v>
      </c>
      <c r="T359">
        <v>2259</v>
      </c>
      <c r="U359">
        <v>47115</v>
      </c>
      <c r="V359" s="18">
        <f t="shared" si="42"/>
        <v>20.856573705179283</v>
      </c>
      <c r="W359" s="62">
        <f t="shared" si="43"/>
        <v>409808.5</v>
      </c>
      <c r="X359" s="19">
        <f t="shared" si="44"/>
        <v>0.89688645911186449</v>
      </c>
      <c r="Y359" s="63" t="s">
        <v>1277</v>
      </c>
    </row>
    <row r="360" spans="2:25" x14ac:dyDescent="0.35">
      <c r="B360" s="66" t="s">
        <v>1394</v>
      </c>
      <c r="C360" s="67" t="s">
        <v>1451</v>
      </c>
      <c r="D360" s="68" t="s">
        <v>1368</v>
      </c>
      <c r="E360" s="60">
        <v>28942</v>
      </c>
      <c r="F360" s="60">
        <v>344137</v>
      </c>
      <c r="G360" s="34">
        <f>IFERROR((F360/E360),0)</f>
        <v>11.890574251952181</v>
      </c>
      <c r="H360" s="1">
        <v>19747</v>
      </c>
      <c r="I360" s="1">
        <v>245079</v>
      </c>
      <c r="J360" s="64">
        <f>IFERROR((I360/H360),0)</f>
        <v>12.410948498506102</v>
      </c>
      <c r="K360" s="90">
        <f>I360-F360</f>
        <v>-99058</v>
      </c>
      <c r="L360" s="90">
        <f>(H360-E360)/1000</f>
        <v>-9.1950000000000003</v>
      </c>
      <c r="M360" s="55" t="s">
        <v>1061</v>
      </c>
      <c r="O360" s="19">
        <f>K360/F360</f>
        <v>-0.28784466651362683</v>
      </c>
      <c r="P360" s="19">
        <f>L360/(E360/1000)</f>
        <v>-0.31770437426577292</v>
      </c>
      <c r="R360" s="20" t="s">
        <v>1282</v>
      </c>
      <c r="T360">
        <v>1396</v>
      </c>
      <c r="U360">
        <v>15319</v>
      </c>
      <c r="V360" s="18">
        <f t="shared" si="42"/>
        <v>10.973495702005732</v>
      </c>
      <c r="W360" s="62">
        <f t="shared" si="43"/>
        <v>328818</v>
      </c>
      <c r="X360" s="19">
        <f t="shared" si="44"/>
        <v>0.95548575131415692</v>
      </c>
      <c r="Y360" s="63"/>
    </row>
    <row r="361" spans="2:25" x14ac:dyDescent="0.35">
      <c r="B361" s="66" t="s">
        <v>1416</v>
      </c>
      <c r="C361" s="67" t="s">
        <v>427</v>
      </c>
      <c r="D361" s="68" t="s">
        <v>1018</v>
      </c>
      <c r="E361" s="60">
        <v>5000</v>
      </c>
      <c r="F361" s="60">
        <v>118041.60000000001</v>
      </c>
      <c r="G361" s="34">
        <f>IFERROR((F361/E361),0)</f>
        <v>23.608320000000003</v>
      </c>
      <c r="H361" s="1">
        <v>390</v>
      </c>
      <c r="I361" s="1">
        <v>18749</v>
      </c>
      <c r="J361" s="64">
        <f>IFERROR((I361/H361),0)</f>
        <v>48.074358974358972</v>
      </c>
      <c r="K361" s="90">
        <f>I361-F361</f>
        <v>-99292.6</v>
      </c>
      <c r="L361" s="90">
        <f>(H361-E361)/1000</f>
        <v>-4.6100000000000003</v>
      </c>
      <c r="M361" s="55" t="s">
        <v>1277</v>
      </c>
      <c r="O361" s="19">
        <f>K361/F361</f>
        <v>-0.8411661651485578</v>
      </c>
      <c r="P361" s="19">
        <f>L361/(E361/1000)</f>
        <v>-0.92200000000000004</v>
      </c>
      <c r="R361" s="20" t="s">
        <v>1601</v>
      </c>
      <c r="T361">
        <v>0</v>
      </c>
      <c r="U361">
        <v>0</v>
      </c>
      <c r="V361" s="18">
        <f t="shared" si="42"/>
        <v>0</v>
      </c>
      <c r="W361" s="62">
        <f t="shared" si="43"/>
        <v>118041.60000000001</v>
      </c>
      <c r="X361" s="19">
        <f t="shared" si="44"/>
        <v>1</v>
      </c>
      <c r="Y361" s="63"/>
    </row>
    <row r="362" spans="2:25" x14ac:dyDescent="0.35">
      <c r="B362" s="66" t="s">
        <v>1260</v>
      </c>
      <c r="C362" s="67" t="s">
        <v>1113</v>
      </c>
      <c r="D362" s="68" t="s">
        <v>1193</v>
      </c>
      <c r="E362" s="59">
        <v>14316</v>
      </c>
      <c r="F362" s="59">
        <v>220292.2</v>
      </c>
      <c r="G362" s="34">
        <f>IFERROR((F362/E362),0)</f>
        <v>15.387831796591227</v>
      </c>
      <c r="H362" s="1">
        <v>8893</v>
      </c>
      <c r="I362" s="1">
        <v>120283</v>
      </c>
      <c r="J362" s="64">
        <f>IFERROR((I362/H362),0)</f>
        <v>13.525581918362757</v>
      </c>
      <c r="K362" s="90">
        <f>I362-F362</f>
        <v>-100009.20000000001</v>
      </c>
      <c r="L362" s="90">
        <f>(H362-E362)/1000</f>
        <v>-5.423</v>
      </c>
      <c r="M362" s="55" t="s">
        <v>1061</v>
      </c>
      <c r="O362" s="19">
        <f>K362/F362</f>
        <v>-0.45398429903555371</v>
      </c>
      <c r="P362" s="19">
        <f>L362/(E362/1000)</f>
        <v>-0.37880692930986309</v>
      </c>
      <c r="R362" s="20" t="s">
        <v>1303</v>
      </c>
      <c r="T362">
        <v>1972</v>
      </c>
      <c r="U362">
        <v>24969</v>
      </c>
      <c r="V362" s="18">
        <f t="shared" si="42"/>
        <v>12.661764705882353</v>
      </c>
      <c r="W362" s="62">
        <f t="shared" si="43"/>
        <v>195323.2</v>
      </c>
      <c r="X362" s="19">
        <f t="shared" si="44"/>
        <v>0.88665508810570692</v>
      </c>
      <c r="Y362" s="63"/>
    </row>
    <row r="363" spans="2:25" x14ac:dyDescent="0.35">
      <c r="B363" s="66" t="s">
        <v>1225</v>
      </c>
      <c r="C363" s="67" t="s">
        <v>586</v>
      </c>
      <c r="D363" s="68" t="s">
        <v>86</v>
      </c>
      <c r="E363" s="60">
        <v>30092</v>
      </c>
      <c r="F363" s="60">
        <v>270701.2</v>
      </c>
      <c r="G363" s="34">
        <f>IFERROR((F363/E363),0)</f>
        <v>8.9957862554831856</v>
      </c>
      <c r="H363" s="1">
        <v>18345</v>
      </c>
      <c r="I363" s="1">
        <v>165070</v>
      </c>
      <c r="J363" s="64">
        <f>IFERROR((I363/H363),0)</f>
        <v>8.9980921231943309</v>
      </c>
      <c r="K363" s="90">
        <f>I363-F363</f>
        <v>-105631.20000000001</v>
      </c>
      <c r="L363" s="90">
        <f>(H363-E363)/1000</f>
        <v>-11.747</v>
      </c>
      <c r="M363" s="55" t="s">
        <v>1061</v>
      </c>
      <c r="O363" s="19">
        <f>K363/F363</f>
        <v>-0.39021326835640185</v>
      </c>
      <c r="P363" s="19">
        <f>L363/(E363/1000)</f>
        <v>-0.39036953343081221</v>
      </c>
      <c r="R363" s="20" t="s">
        <v>1062</v>
      </c>
      <c r="T363">
        <v>0</v>
      </c>
      <c r="U363">
        <v>0</v>
      </c>
      <c r="V363" s="18">
        <f t="shared" si="42"/>
        <v>0</v>
      </c>
      <c r="W363" s="62">
        <f t="shared" si="43"/>
        <v>270701.2</v>
      </c>
      <c r="X363" s="19">
        <f t="shared" si="44"/>
        <v>1</v>
      </c>
      <c r="Y363" s="63"/>
    </row>
    <row r="364" spans="2:25" x14ac:dyDescent="0.35">
      <c r="B364" s="66" t="s">
        <v>819</v>
      </c>
      <c r="C364" s="67" t="s">
        <v>713</v>
      </c>
      <c r="D364" s="68" t="s">
        <v>195</v>
      </c>
      <c r="E364" s="60">
        <v>8166</v>
      </c>
      <c r="F364" s="60">
        <v>106955.6</v>
      </c>
      <c r="G364" s="34">
        <f>IFERROR((F364/E364),0)</f>
        <v>13.097673279451385</v>
      </c>
      <c r="H364" s="1">
        <v>0</v>
      </c>
      <c r="I364" s="1">
        <v>0</v>
      </c>
      <c r="J364" s="64">
        <f>IFERROR((I364/H364),0)</f>
        <v>0</v>
      </c>
      <c r="K364" s="90">
        <f>I364-F364</f>
        <v>-106955.6</v>
      </c>
      <c r="L364" s="90">
        <f>(H364-E364)/1000</f>
        <v>-8.1660000000000004</v>
      </c>
      <c r="M364" s="55" t="s">
        <v>845</v>
      </c>
      <c r="O364" s="19">
        <f>K364/F364</f>
        <v>-1</v>
      </c>
      <c r="P364" s="19">
        <f>L364/(E364/1000)</f>
        <v>-1</v>
      </c>
      <c r="R364" s="20" t="s">
        <v>1601</v>
      </c>
      <c r="T364">
        <v>7769</v>
      </c>
      <c r="U364">
        <v>88387</v>
      </c>
      <c r="V364" s="18">
        <f t="shared" si="42"/>
        <v>11.376882481657871</v>
      </c>
      <c r="W364" s="62">
        <f t="shared" si="43"/>
        <v>18568.600000000006</v>
      </c>
      <c r="X364" s="19">
        <f t="shared" si="44"/>
        <v>0.17361035794292215</v>
      </c>
      <c r="Y364" s="63"/>
    </row>
    <row r="365" spans="2:25" x14ac:dyDescent="0.35">
      <c r="B365" s="66" t="s">
        <v>1221</v>
      </c>
      <c r="C365" s="67" t="s">
        <v>528</v>
      </c>
      <c r="D365" s="68" t="s">
        <v>136</v>
      </c>
      <c r="E365" s="60">
        <v>15949</v>
      </c>
      <c r="F365" s="60">
        <v>203452.9</v>
      </c>
      <c r="G365" s="34">
        <f>IFERROR((F365/E365),0)</f>
        <v>12.756467490124772</v>
      </c>
      <c r="H365" s="1">
        <v>8251</v>
      </c>
      <c r="I365" s="1">
        <v>93807</v>
      </c>
      <c r="J365" s="64">
        <f>IFERROR((I365/H365),0)</f>
        <v>11.369167373651679</v>
      </c>
      <c r="K365" s="90">
        <f>I365-F365</f>
        <v>-109645.9</v>
      </c>
      <c r="L365" s="90">
        <f>(H365-E365)/1000</f>
        <v>-7.6980000000000004</v>
      </c>
      <c r="M365" s="55" t="s">
        <v>1061</v>
      </c>
      <c r="O365" s="19">
        <f>K365/F365</f>
        <v>-0.53892522544529964</v>
      </c>
      <c r="P365" s="19">
        <f>L365/(E365/1000)</f>
        <v>-0.48266348987397334</v>
      </c>
      <c r="R365" s="20" t="s">
        <v>1298</v>
      </c>
      <c r="T365">
        <v>2267</v>
      </c>
      <c r="U365">
        <v>17974</v>
      </c>
      <c r="V365" s="18">
        <f t="shared" si="42"/>
        <v>7.9285399205999116</v>
      </c>
      <c r="W365" s="62">
        <f t="shared" si="43"/>
        <v>185478.9</v>
      </c>
      <c r="X365" s="19">
        <f t="shared" si="44"/>
        <v>0.91165522831082768</v>
      </c>
      <c r="Y365" s="63"/>
    </row>
    <row r="366" spans="2:25" x14ac:dyDescent="0.35">
      <c r="B366" s="66" t="s">
        <v>1061</v>
      </c>
      <c r="C366" s="67" t="s">
        <v>430</v>
      </c>
      <c r="D366" s="68" t="s">
        <v>431</v>
      </c>
      <c r="E366" s="60">
        <v>5030</v>
      </c>
      <c r="F366" s="60">
        <v>113457.5</v>
      </c>
      <c r="G366" s="34">
        <f>IFERROR((F366/E366),0)</f>
        <v>22.556163021868787</v>
      </c>
      <c r="H366" s="1">
        <v>0</v>
      </c>
      <c r="I366" s="1">
        <v>0</v>
      </c>
      <c r="J366" s="64">
        <f>IFERROR((I366/H366),0)</f>
        <v>0</v>
      </c>
      <c r="K366" s="90">
        <f>I366-F366</f>
        <v>-113457.5</v>
      </c>
      <c r="L366" s="90">
        <f>(H366-E366)/1000</f>
        <v>-5.03</v>
      </c>
      <c r="M366" s="55" t="s">
        <v>845</v>
      </c>
      <c r="O366" s="19">
        <f>K366/F366</f>
        <v>-1</v>
      </c>
      <c r="P366" s="19">
        <f>L366/(E366/1000)</f>
        <v>-1</v>
      </c>
      <c r="R366" s="20" t="s">
        <v>1281</v>
      </c>
      <c r="T366">
        <v>0</v>
      </c>
      <c r="U366">
        <v>0</v>
      </c>
      <c r="V366" s="18">
        <f t="shared" si="42"/>
        <v>0</v>
      </c>
      <c r="W366" s="62">
        <f t="shared" si="43"/>
        <v>113457.5</v>
      </c>
      <c r="X366" s="19">
        <f t="shared" si="44"/>
        <v>1</v>
      </c>
      <c r="Y366" s="63"/>
    </row>
    <row r="367" spans="2:25" x14ac:dyDescent="0.35">
      <c r="B367" s="66" t="s">
        <v>1061</v>
      </c>
      <c r="C367" s="67" t="s">
        <v>1079</v>
      </c>
      <c r="D367" s="68" t="s">
        <v>1157</v>
      </c>
      <c r="E367" s="60">
        <v>27548</v>
      </c>
      <c r="F367" s="60">
        <v>210546</v>
      </c>
      <c r="G367" s="34">
        <f>IFERROR((F367/E367),0)</f>
        <v>7.6428778858719326</v>
      </c>
      <c r="H367" s="1">
        <v>10897</v>
      </c>
      <c r="I367" s="1">
        <v>96737</v>
      </c>
      <c r="J367" s="64">
        <f>IFERROR((I367/H367),0)</f>
        <v>8.8773974488391296</v>
      </c>
      <c r="K367" s="90">
        <f>I367-F367</f>
        <v>-113809</v>
      </c>
      <c r="L367" s="90">
        <f>(H367-E367)/1000</f>
        <v>-16.651</v>
      </c>
      <c r="M367" s="55" t="s">
        <v>1061</v>
      </c>
      <c r="O367" s="19">
        <f>K367/F367</f>
        <v>-0.54054220930343011</v>
      </c>
      <c r="P367" s="19">
        <f>L367/(E367/1000)</f>
        <v>-0.60443589371279227</v>
      </c>
      <c r="R367" s="20" t="s">
        <v>1283</v>
      </c>
      <c r="T367">
        <v>660</v>
      </c>
      <c r="U367">
        <v>16380</v>
      </c>
      <c r="V367" s="18">
        <f t="shared" si="42"/>
        <v>24.818181818181817</v>
      </c>
      <c r="W367" s="62">
        <f t="shared" si="43"/>
        <v>194166</v>
      </c>
      <c r="X367" s="19">
        <f t="shared" si="44"/>
        <v>0.92220227408737288</v>
      </c>
      <c r="Y367" s="63"/>
    </row>
    <row r="368" spans="2:25" x14ac:dyDescent="0.35">
      <c r="B368" s="66" t="s">
        <v>976</v>
      </c>
      <c r="C368" s="67" t="s">
        <v>944</v>
      </c>
      <c r="D368" s="68" t="s">
        <v>945</v>
      </c>
      <c r="E368" s="60">
        <v>28265</v>
      </c>
      <c r="F368" s="60">
        <v>364009.2</v>
      </c>
      <c r="G368" s="34">
        <f>IFERROR((F368/E368),0)</f>
        <v>12.87844330444012</v>
      </c>
      <c r="H368" s="1">
        <v>16471</v>
      </c>
      <c r="I368" s="1">
        <v>247989</v>
      </c>
      <c r="J368" s="65">
        <f>IFERROR((I368/H368),0)</f>
        <v>15.056098597535062</v>
      </c>
      <c r="K368" s="90">
        <f>I368-F368</f>
        <v>-116020.20000000001</v>
      </c>
      <c r="L368" s="90">
        <f>(H368-E368)/1000</f>
        <v>-11.794</v>
      </c>
      <c r="M368" s="55" t="s">
        <v>1061</v>
      </c>
      <c r="O368" s="19">
        <f>K368/F368</f>
        <v>-0.31872875740503265</v>
      </c>
      <c r="P368" s="19">
        <f>L368/(E368/1000)</f>
        <v>-0.41726516893684767</v>
      </c>
      <c r="R368" s="20" t="s">
        <v>1280</v>
      </c>
      <c r="T368">
        <v>0</v>
      </c>
      <c r="U368">
        <v>0</v>
      </c>
      <c r="V368" s="18">
        <f t="shared" si="42"/>
        <v>0</v>
      </c>
      <c r="W368" s="62">
        <f t="shared" si="43"/>
        <v>364009.2</v>
      </c>
      <c r="X368" s="19">
        <f t="shared" si="44"/>
        <v>1</v>
      </c>
      <c r="Y368" s="63"/>
    </row>
    <row r="369" spans="2:18" x14ac:dyDescent="0.35">
      <c r="B369" s="84" t="s">
        <v>1394</v>
      </c>
      <c r="C369" s="67" t="s">
        <v>1468</v>
      </c>
      <c r="D369" s="68" t="s">
        <v>1383</v>
      </c>
      <c r="E369" s="60">
        <v>10692</v>
      </c>
      <c r="F369" s="60">
        <v>117989</v>
      </c>
      <c r="G369" s="34">
        <f>IFERROR((F369/E369),0)</f>
        <v>11.035260007482229</v>
      </c>
      <c r="H369" s="1">
        <v>0</v>
      </c>
      <c r="I369" s="1">
        <v>0</v>
      </c>
      <c r="J369" s="65">
        <f>IFERROR((I369/H369),0)</f>
        <v>0</v>
      </c>
      <c r="K369" s="90">
        <f>I369-F369</f>
        <v>-117989</v>
      </c>
      <c r="L369" s="90">
        <f>(H369-E369)/1000</f>
        <v>-10.692</v>
      </c>
      <c r="M369" s="55" t="s">
        <v>845</v>
      </c>
      <c r="O369" s="19">
        <f>K369/F369</f>
        <v>-1</v>
      </c>
      <c r="P369" s="19">
        <f>L369/(E369/1000)</f>
        <v>-1</v>
      </c>
      <c r="R369" s="87" t="s">
        <v>1287</v>
      </c>
    </row>
    <row r="370" spans="2:18" x14ac:dyDescent="0.35">
      <c r="B370" s="84" t="s">
        <v>817</v>
      </c>
      <c r="C370" s="67" t="s">
        <v>451</v>
      </c>
      <c r="D370" s="68" t="s">
        <v>85</v>
      </c>
      <c r="E370" s="60">
        <v>43421</v>
      </c>
      <c r="F370" s="60">
        <v>358891.4</v>
      </c>
      <c r="G370" s="34">
        <f>IFERROR((F370/E370),0)</f>
        <v>8.2653877156214737</v>
      </c>
      <c r="H370" s="1">
        <v>29499</v>
      </c>
      <c r="I370" s="1">
        <v>238874</v>
      </c>
      <c r="J370" s="65">
        <f>IFERROR((I370/H370),0)</f>
        <v>8.0976982270585438</v>
      </c>
      <c r="K370" s="90">
        <f>I370-F370</f>
        <v>-120017.40000000002</v>
      </c>
      <c r="L370" s="90">
        <f>(H370-E370)/1000</f>
        <v>-13.922000000000001</v>
      </c>
      <c r="M370" s="55" t="s">
        <v>1061</v>
      </c>
      <c r="O370" s="19">
        <f>K370/F370</f>
        <v>-0.33441146820458784</v>
      </c>
      <c r="P370" s="19">
        <f>L370/(E370/1000)</f>
        <v>-0.32062826742820294</v>
      </c>
      <c r="R370" s="87" t="s">
        <v>1291</v>
      </c>
    </row>
    <row r="371" spans="2:18" x14ac:dyDescent="0.35">
      <c r="B371" s="84" t="s">
        <v>828</v>
      </c>
      <c r="C371" s="67" t="s">
        <v>1017</v>
      </c>
      <c r="D371" s="68" t="s">
        <v>143</v>
      </c>
      <c r="E371" s="60">
        <v>30593</v>
      </c>
      <c r="F371" s="60">
        <v>472242.9</v>
      </c>
      <c r="G371" s="34">
        <f>IFERROR((F371/E371),0)</f>
        <v>15.436305690844312</v>
      </c>
      <c r="H371" s="1">
        <v>20396</v>
      </c>
      <c r="I371" s="1">
        <v>350522</v>
      </c>
      <c r="J371" s="65">
        <f>IFERROR((I371/H371),0)</f>
        <v>17.185820749166503</v>
      </c>
      <c r="K371" s="90">
        <f>I371-F371</f>
        <v>-121720.90000000002</v>
      </c>
      <c r="L371" s="90">
        <f>(H371-E371)/1000</f>
        <v>-10.196999999999999</v>
      </c>
      <c r="M371" s="55" t="s">
        <v>1061</v>
      </c>
      <c r="O371" s="19">
        <f>K371/F371</f>
        <v>-0.25775061943758182</v>
      </c>
      <c r="P371" s="19">
        <f>L371/(E371/1000)</f>
        <v>-0.33331154185598011</v>
      </c>
      <c r="R371" s="87" t="s">
        <v>1293</v>
      </c>
    </row>
    <row r="372" spans="2:18" x14ac:dyDescent="0.35">
      <c r="B372" s="84" t="s">
        <v>1223</v>
      </c>
      <c r="C372" s="67" t="s">
        <v>571</v>
      </c>
      <c r="D372" s="68" t="s">
        <v>1230</v>
      </c>
      <c r="E372" s="60">
        <v>26736</v>
      </c>
      <c r="F372" s="60">
        <v>420872.7</v>
      </c>
      <c r="G372" s="34">
        <f>IFERROR((F372/E372),0)</f>
        <v>15.741797576301616</v>
      </c>
      <c r="H372" s="1">
        <v>16283</v>
      </c>
      <c r="I372" s="1">
        <v>294758</v>
      </c>
      <c r="J372" s="65">
        <f>IFERROR((I372/H372),0)</f>
        <v>18.102192470674936</v>
      </c>
      <c r="K372" s="90">
        <f>I372-F372</f>
        <v>-126114.70000000001</v>
      </c>
      <c r="L372" s="90">
        <f>(H372-E372)/1000</f>
        <v>-10.452999999999999</v>
      </c>
      <c r="M372" s="55" t="s">
        <v>1061</v>
      </c>
      <c r="O372" s="19">
        <f>K372/F372</f>
        <v>-0.29965046438032217</v>
      </c>
      <c r="P372" s="19">
        <f>L372/(E372/1000)</f>
        <v>-0.39097097546379411</v>
      </c>
      <c r="R372" s="87" t="s">
        <v>1288</v>
      </c>
    </row>
    <row r="373" spans="2:18" x14ac:dyDescent="0.35">
      <c r="B373" s="84" t="s">
        <v>810</v>
      </c>
      <c r="C373" s="67" t="s">
        <v>1234</v>
      </c>
      <c r="D373" s="68" t="s">
        <v>61</v>
      </c>
      <c r="E373" s="60">
        <v>12304</v>
      </c>
      <c r="F373" s="60">
        <v>166970.1</v>
      </c>
      <c r="G373" s="34">
        <f>IFERROR((F373/E373),0)</f>
        <v>13.570391742522757</v>
      </c>
      <c r="H373" s="1">
        <v>1625</v>
      </c>
      <c r="I373" s="1">
        <v>29595</v>
      </c>
      <c r="J373" s="65">
        <f>IFERROR((I373/H373),0)</f>
        <v>18.212307692307693</v>
      </c>
      <c r="K373" s="90">
        <f>I373-F373</f>
        <v>-137375.1</v>
      </c>
      <c r="L373" s="90">
        <f>(H373-E373)/1000</f>
        <v>-10.679</v>
      </c>
      <c r="M373" s="55" t="s">
        <v>1277</v>
      </c>
      <c r="O373" s="19">
        <f>K373/F373</f>
        <v>-0.8227526964408598</v>
      </c>
      <c r="P373" s="19">
        <f>L373/(E373/1000)</f>
        <v>-0.8679291287386216</v>
      </c>
      <c r="R373" s="87" t="s">
        <v>1600</v>
      </c>
    </row>
    <row r="374" spans="2:18" x14ac:dyDescent="0.35">
      <c r="B374" s="84" t="s">
        <v>822</v>
      </c>
      <c r="C374" s="67" t="s">
        <v>695</v>
      </c>
      <c r="D374" s="68" t="s">
        <v>138</v>
      </c>
      <c r="E374" s="60">
        <v>3898</v>
      </c>
      <c r="F374" s="60">
        <v>154258.29999999999</v>
      </c>
      <c r="G374" s="34">
        <f>IFERROR((F374/E374),0)</f>
        <v>39.573704463827603</v>
      </c>
      <c r="H374" s="1">
        <v>225</v>
      </c>
      <c r="I374" s="1">
        <v>11233</v>
      </c>
      <c r="J374" s="65">
        <f>IFERROR((I374/H374),0)</f>
        <v>49.924444444444447</v>
      </c>
      <c r="K374" s="90">
        <f>I374-F374</f>
        <v>-143025.29999999999</v>
      </c>
      <c r="L374" s="90">
        <f>(H374-E374)/1000</f>
        <v>-3.673</v>
      </c>
      <c r="M374" s="55" t="s">
        <v>1277</v>
      </c>
      <c r="O374" s="19">
        <f>K374/F374</f>
        <v>-0.92718057958631728</v>
      </c>
      <c r="P374" s="19">
        <f>L374/(E374/1000)</f>
        <v>-0.94227809132888662</v>
      </c>
      <c r="R374" s="87" t="s">
        <v>1288</v>
      </c>
    </row>
    <row r="375" spans="2:18" x14ac:dyDescent="0.35">
      <c r="B375" s="84" t="s">
        <v>1394</v>
      </c>
      <c r="C375" s="67" t="s">
        <v>1399</v>
      </c>
      <c r="D375" s="68" t="s">
        <v>1338</v>
      </c>
      <c r="E375" s="60">
        <v>14900</v>
      </c>
      <c r="F375" s="60">
        <v>146895</v>
      </c>
      <c r="G375" s="34">
        <f>IFERROR((F375/E375),0)</f>
        <v>9.8587248322147651</v>
      </c>
      <c r="H375" s="1">
        <v>0</v>
      </c>
      <c r="I375" s="1">
        <v>0</v>
      </c>
      <c r="J375" s="65">
        <f>IFERROR((I375/H375),0)</f>
        <v>0</v>
      </c>
      <c r="K375" s="90">
        <f>I375-F375</f>
        <v>-146895</v>
      </c>
      <c r="L375" s="90">
        <f>(H375-E375)/1000</f>
        <v>-14.9</v>
      </c>
      <c r="M375" s="55" t="s">
        <v>845</v>
      </c>
      <c r="O375" s="19">
        <f>K375/F375</f>
        <v>-1</v>
      </c>
      <c r="P375" s="19">
        <f>L375/(E375/1000)</f>
        <v>-1</v>
      </c>
      <c r="R375" s="87" t="s">
        <v>1300</v>
      </c>
    </row>
    <row r="376" spans="2:18" x14ac:dyDescent="0.35">
      <c r="B376" s="84" t="s">
        <v>1595</v>
      </c>
      <c r="C376" s="67" t="s">
        <v>1518</v>
      </c>
      <c r="D376" s="68" t="s">
        <v>1569</v>
      </c>
      <c r="E376" s="60">
        <v>15465</v>
      </c>
      <c r="F376" s="60">
        <v>177681.6</v>
      </c>
      <c r="G376" s="34">
        <f>IFERROR((F376/E376),0)</f>
        <v>11.489272550921436</v>
      </c>
      <c r="H376" s="1">
        <v>2094</v>
      </c>
      <c r="I376" s="1">
        <v>25272</v>
      </c>
      <c r="J376" s="65">
        <f>IFERROR((I376/H376),0)</f>
        <v>12.068767908309455</v>
      </c>
      <c r="K376" s="90">
        <f>I376-F376</f>
        <v>-152409.60000000001</v>
      </c>
      <c r="L376" s="90">
        <f>(H376-E376)/1000</f>
        <v>-13.371</v>
      </c>
      <c r="M376" s="55" t="s">
        <v>1277</v>
      </c>
      <c r="O376" s="19">
        <f>K376/F376</f>
        <v>-0.85776805251641142</v>
      </c>
      <c r="P376" s="19">
        <f>L376/(E376/1000)</f>
        <v>-0.86459747817652766</v>
      </c>
      <c r="R376" s="87" t="s">
        <v>1283</v>
      </c>
    </row>
    <row r="377" spans="2:18" x14ac:dyDescent="0.35">
      <c r="B377" s="84" t="s">
        <v>815</v>
      </c>
      <c r="C377" s="67" t="s">
        <v>644</v>
      </c>
      <c r="D377" s="68" t="s">
        <v>1245</v>
      </c>
      <c r="E377" s="60">
        <v>37369</v>
      </c>
      <c r="F377" s="60">
        <v>345575.5</v>
      </c>
      <c r="G377" s="34">
        <f>IFERROR((F377/E377),0)</f>
        <v>9.2476517969439911</v>
      </c>
      <c r="H377" s="1">
        <v>30411</v>
      </c>
      <c r="I377" s="1">
        <v>188277</v>
      </c>
      <c r="J377" s="65">
        <f>IFERROR((I377/H377),0)</f>
        <v>6.1910821742132782</v>
      </c>
      <c r="K377" s="90">
        <f>I377-F377</f>
        <v>-157298.5</v>
      </c>
      <c r="L377" s="90">
        <f>(H377-E377)/1000</f>
        <v>-6.9580000000000002</v>
      </c>
      <c r="M377" s="55" t="s">
        <v>1061</v>
      </c>
      <c r="O377" s="19">
        <f>K377/F377</f>
        <v>-0.45517839082921097</v>
      </c>
      <c r="P377" s="19">
        <f>L377/(E377/1000)</f>
        <v>-0.18619711525596083</v>
      </c>
      <c r="R377" s="87" t="s">
        <v>1287</v>
      </c>
    </row>
    <row r="378" spans="2:18" x14ac:dyDescent="0.35">
      <c r="B378" s="84" t="s">
        <v>1061</v>
      </c>
      <c r="C378" s="67" t="s">
        <v>391</v>
      </c>
      <c r="D378" s="68" t="s">
        <v>22</v>
      </c>
      <c r="E378" s="59">
        <v>13304</v>
      </c>
      <c r="F378" s="59">
        <v>158300.29999999999</v>
      </c>
      <c r="G378" s="34">
        <f>IFERROR((F378/E378),0)</f>
        <v>11.898699639206253</v>
      </c>
      <c r="H378" s="1">
        <v>0</v>
      </c>
      <c r="I378" s="1">
        <v>0</v>
      </c>
      <c r="J378" s="65">
        <f>IFERROR((I378/H378),0)</f>
        <v>0</v>
      </c>
      <c r="K378" s="90">
        <f>I378-F378</f>
        <v>-158300.29999999999</v>
      </c>
      <c r="L378" s="90">
        <f>(H378-E378)/1000</f>
        <v>-13.304</v>
      </c>
      <c r="M378" s="55" t="s">
        <v>845</v>
      </c>
      <c r="O378" s="19">
        <f>K378/F378</f>
        <v>-1</v>
      </c>
      <c r="P378" s="19">
        <f>L378/(E378/1000)</f>
        <v>-1</v>
      </c>
      <c r="R378" s="87" t="s">
        <v>1604</v>
      </c>
    </row>
    <row r="379" spans="2:18" x14ac:dyDescent="0.35">
      <c r="B379" s="84" t="s">
        <v>825</v>
      </c>
      <c r="C379" s="67" t="s">
        <v>600</v>
      </c>
      <c r="D379" s="68" t="s">
        <v>182</v>
      </c>
      <c r="E379" s="59">
        <v>41797</v>
      </c>
      <c r="F379" s="59">
        <v>516656.6</v>
      </c>
      <c r="G379" s="34">
        <f>IFERROR((F379/E379),0)</f>
        <v>12.361092901404406</v>
      </c>
      <c r="H379" s="1">
        <v>29823</v>
      </c>
      <c r="I379" s="1">
        <v>358188</v>
      </c>
      <c r="J379" s="65">
        <f>IFERROR((I379/H379),0)</f>
        <v>12.010461724172618</v>
      </c>
      <c r="K379" s="90">
        <f>I379-F379</f>
        <v>-158468.59999999998</v>
      </c>
      <c r="L379" s="90">
        <f>(H379-E379)/1000</f>
        <v>-11.974</v>
      </c>
      <c r="M379" s="55" t="s">
        <v>1061</v>
      </c>
      <c r="O379" s="19">
        <f>K379/F379</f>
        <v>-0.30671939543596266</v>
      </c>
      <c r="P379" s="19">
        <f>L379/(E379/1000)</f>
        <v>-0.28647989090126086</v>
      </c>
      <c r="R379" s="87" t="s">
        <v>1291</v>
      </c>
    </row>
    <row r="380" spans="2:18" x14ac:dyDescent="0.35">
      <c r="B380" s="84" t="s">
        <v>1219</v>
      </c>
      <c r="C380" s="67" t="s">
        <v>1114</v>
      </c>
      <c r="D380" s="68" t="s">
        <v>1154</v>
      </c>
      <c r="E380" s="60">
        <v>146480</v>
      </c>
      <c r="F380" s="60">
        <v>1540400</v>
      </c>
      <c r="G380" s="34">
        <f>IFERROR((F380/E380),0)</f>
        <v>10.516111414527581</v>
      </c>
      <c r="H380" s="1">
        <v>133054</v>
      </c>
      <c r="I380" s="1">
        <v>1378793</v>
      </c>
      <c r="J380" s="65">
        <f>IFERROR((I380/H380),0)</f>
        <v>10.362657266974312</v>
      </c>
      <c r="K380" s="90">
        <f>I380-F380</f>
        <v>-161607</v>
      </c>
      <c r="L380" s="90">
        <f>(H380-E380)/1000</f>
        <v>-13.426</v>
      </c>
      <c r="M380" s="55" t="s">
        <v>1061</v>
      </c>
      <c r="O380" s="19">
        <f>K380/F380</f>
        <v>-0.10491236042586341</v>
      </c>
      <c r="P380" s="19">
        <f>L380/(E380/1000)</f>
        <v>-9.1657564172583292E-2</v>
      </c>
      <c r="R380" s="87" t="s">
        <v>1280</v>
      </c>
    </row>
    <row r="381" spans="2:18" x14ac:dyDescent="0.35">
      <c r="B381" s="84" t="s">
        <v>1219</v>
      </c>
      <c r="C381" s="67" t="s">
        <v>1094</v>
      </c>
      <c r="D381" s="68" t="s">
        <v>1159</v>
      </c>
      <c r="E381" s="60">
        <v>16435</v>
      </c>
      <c r="F381" s="60">
        <v>170872</v>
      </c>
      <c r="G381" s="34">
        <f>IFERROR((F381/E381),0)</f>
        <v>10.396836020687557</v>
      </c>
      <c r="H381" s="1">
        <v>0</v>
      </c>
      <c r="I381" s="1">
        <v>0</v>
      </c>
      <c r="J381" s="65">
        <f>IFERROR((I381/H381),0)</f>
        <v>0</v>
      </c>
      <c r="K381" s="90">
        <f>I381-F381</f>
        <v>-170872</v>
      </c>
      <c r="L381" s="90">
        <f>(H381-E381)/1000</f>
        <v>-16.434999999999999</v>
      </c>
      <c r="M381" s="55" t="s">
        <v>845</v>
      </c>
      <c r="O381" s="19">
        <f>K381/F381</f>
        <v>-1</v>
      </c>
      <c r="P381" s="19">
        <f>L381/(E381/1000)</f>
        <v>-1</v>
      </c>
      <c r="R381" s="87" t="s">
        <v>1302</v>
      </c>
    </row>
    <row r="382" spans="2:18" x14ac:dyDescent="0.35">
      <c r="B382" s="84" t="s">
        <v>1219</v>
      </c>
      <c r="C382" s="67" t="s">
        <v>1131</v>
      </c>
      <c r="D382" s="68" t="s">
        <v>1186</v>
      </c>
      <c r="E382" s="60">
        <v>16407</v>
      </c>
      <c r="F382" s="60">
        <v>204183.8</v>
      </c>
      <c r="G382" s="34">
        <f>IFERROR((F382/E382),0)</f>
        <v>12.444919851282988</v>
      </c>
      <c r="H382" s="1">
        <v>3069</v>
      </c>
      <c r="I382" s="1">
        <v>33047</v>
      </c>
      <c r="J382" s="65">
        <f>IFERROR((I382/H382),0)</f>
        <v>10.768002606712285</v>
      </c>
      <c r="K382" s="90">
        <f>I382-F382</f>
        <v>-171136.8</v>
      </c>
      <c r="L382" s="90">
        <f>(H382-E382)/1000</f>
        <v>-13.337999999999999</v>
      </c>
      <c r="M382" s="55" t="s">
        <v>1277</v>
      </c>
      <c r="O382" s="19">
        <f>K382/F382</f>
        <v>-0.83815072498405851</v>
      </c>
      <c r="P382" s="19">
        <f>L382/(E382/1000)</f>
        <v>-0.81294569391113547</v>
      </c>
      <c r="R382" s="87" t="s">
        <v>1288</v>
      </c>
    </row>
    <row r="383" spans="2:18" x14ac:dyDescent="0.35">
      <c r="B383" s="84" t="s">
        <v>1061</v>
      </c>
      <c r="C383" s="67" t="s">
        <v>446</v>
      </c>
      <c r="D383" s="68" t="s">
        <v>12</v>
      </c>
      <c r="E383" s="60">
        <v>21719</v>
      </c>
      <c r="F383" s="60">
        <v>176249.9</v>
      </c>
      <c r="G383" s="34">
        <f>IFERROR((F383/E383),0)</f>
        <v>8.115009899166628</v>
      </c>
      <c r="H383" s="1">
        <v>196</v>
      </c>
      <c r="I383" s="1">
        <v>2648</v>
      </c>
      <c r="J383" s="65">
        <f>IFERROR((I383/H383),0)</f>
        <v>13.510204081632653</v>
      </c>
      <c r="K383" s="90">
        <f>I383-F383</f>
        <v>-173601.9</v>
      </c>
      <c r="L383" s="90">
        <f>(H383-E383)/1000</f>
        <v>-21.523</v>
      </c>
      <c r="M383" s="55" t="s">
        <v>1277</v>
      </c>
      <c r="O383" s="19">
        <f>K383/F383</f>
        <v>-0.98497587800049813</v>
      </c>
      <c r="P383" s="19">
        <f>L383/(E383/1000)</f>
        <v>-0.99097564344583078</v>
      </c>
      <c r="R383" s="87" t="s">
        <v>1060</v>
      </c>
    </row>
    <row r="384" spans="2:18" x14ac:dyDescent="0.35">
      <c r="B384" s="84" t="s">
        <v>817</v>
      </c>
      <c r="C384" s="67" t="s">
        <v>441</v>
      </c>
      <c r="D384" s="68" t="s">
        <v>32</v>
      </c>
      <c r="E384" s="60">
        <v>23258</v>
      </c>
      <c r="F384" s="60">
        <v>452956.8</v>
      </c>
      <c r="G384" s="34">
        <f>IFERROR((F384/E384),0)</f>
        <v>19.475311720698254</v>
      </c>
      <c r="H384" s="1">
        <v>16602</v>
      </c>
      <c r="I384" s="1">
        <v>277735</v>
      </c>
      <c r="J384" s="65">
        <f>IFERROR((I384/H384),0)</f>
        <v>16.729008553186365</v>
      </c>
      <c r="K384" s="90">
        <f>I384-F384</f>
        <v>-175221.8</v>
      </c>
      <c r="L384" s="90">
        <f>(H384-E384)/1000</f>
        <v>-6.6559999999999997</v>
      </c>
      <c r="M384" s="55" t="s">
        <v>1061</v>
      </c>
      <c r="O384" s="19">
        <f>K384/F384</f>
        <v>-0.3868399812079209</v>
      </c>
      <c r="P384" s="19">
        <f>L384/(E384/1000)</f>
        <v>-0.28618109897669619</v>
      </c>
      <c r="R384" s="87" t="s">
        <v>1601</v>
      </c>
    </row>
    <row r="385" spans="2:18" x14ac:dyDescent="0.35">
      <c r="B385" s="84" t="s">
        <v>1394</v>
      </c>
      <c r="C385" s="67" t="s">
        <v>1449</v>
      </c>
      <c r="D385" s="68" t="s">
        <v>1367</v>
      </c>
      <c r="E385" s="60">
        <v>29261</v>
      </c>
      <c r="F385" s="60">
        <v>332926.09999999998</v>
      </c>
      <c r="G385" s="34">
        <f>IFERROR((F385/E385),0)</f>
        <v>11.377810054338539</v>
      </c>
      <c r="H385" s="1">
        <v>12397</v>
      </c>
      <c r="I385" s="1">
        <v>150787</v>
      </c>
      <c r="J385" s="65">
        <f>IFERROR((I385/H385),0)</f>
        <v>12.163184641445511</v>
      </c>
      <c r="K385" s="90">
        <f>I385-F385</f>
        <v>-182139.09999999998</v>
      </c>
      <c r="L385" s="90">
        <f>(H385-E385)/1000</f>
        <v>-16.864000000000001</v>
      </c>
      <c r="M385" s="55" t="s">
        <v>1061</v>
      </c>
      <c r="O385" s="19">
        <f>K385/F385</f>
        <v>-0.54708567456862045</v>
      </c>
      <c r="P385" s="19">
        <f>L385/(E385/1000)</f>
        <v>-0.57633026895868222</v>
      </c>
      <c r="R385" s="87" t="s">
        <v>1287</v>
      </c>
    </row>
    <row r="386" spans="2:18" x14ac:dyDescent="0.35">
      <c r="B386" s="84" t="s">
        <v>1061</v>
      </c>
      <c r="C386" s="67" t="s">
        <v>643</v>
      </c>
      <c r="D386" s="68" t="s">
        <v>5</v>
      </c>
      <c r="E386" s="60">
        <v>41708</v>
      </c>
      <c r="F386" s="60">
        <v>584206.1</v>
      </c>
      <c r="G386" s="34">
        <f>IFERROR((F386/E386),0)</f>
        <v>14.007051405006234</v>
      </c>
      <c r="H386" s="1">
        <v>39288</v>
      </c>
      <c r="I386" s="1">
        <v>396030</v>
      </c>
      <c r="J386" s="65">
        <f>IFERROR((I386/H386),0)</f>
        <v>10.080177153329261</v>
      </c>
      <c r="K386" s="90">
        <f>I386-F386</f>
        <v>-188176.09999999998</v>
      </c>
      <c r="L386" s="90">
        <f>(H386-E386)/1000</f>
        <v>-2.42</v>
      </c>
      <c r="M386" s="55" t="s">
        <v>1061</v>
      </c>
      <c r="O386" s="19">
        <f>K386/F386</f>
        <v>-0.32210567469254425</v>
      </c>
      <c r="P386" s="19">
        <f>L386/(E386/1000)</f>
        <v>-5.802244173779611E-2</v>
      </c>
      <c r="R386" s="87" t="s">
        <v>1281</v>
      </c>
    </row>
    <row r="387" spans="2:18" x14ac:dyDescent="0.35">
      <c r="B387" s="84" t="s">
        <v>822</v>
      </c>
      <c r="C387" s="67" t="s">
        <v>670</v>
      </c>
      <c r="D387" s="68" t="s">
        <v>89</v>
      </c>
      <c r="E387" s="60">
        <v>18435</v>
      </c>
      <c r="F387" s="60">
        <v>192323.8</v>
      </c>
      <c r="G387" s="34">
        <f>IFERROR((F387/E387),0)</f>
        <v>10.432535937076214</v>
      </c>
      <c r="H387" s="1">
        <v>0</v>
      </c>
      <c r="I387" s="1">
        <v>0</v>
      </c>
      <c r="J387" s="65">
        <f>IFERROR((I387/H387),0)</f>
        <v>0</v>
      </c>
      <c r="K387" s="90">
        <f>I387-F387</f>
        <v>-192323.8</v>
      </c>
      <c r="L387" s="90">
        <f>(H387-E387)/1000</f>
        <v>-18.434999999999999</v>
      </c>
      <c r="M387" s="55" t="s">
        <v>845</v>
      </c>
      <c r="O387" s="19">
        <f>K387/F387</f>
        <v>-1</v>
      </c>
      <c r="P387" s="19">
        <f>L387/(E387/1000)</f>
        <v>-1</v>
      </c>
      <c r="R387" s="87" t="s">
        <v>1060</v>
      </c>
    </row>
    <row r="388" spans="2:18" x14ac:dyDescent="0.35">
      <c r="B388" s="84" t="s">
        <v>1394</v>
      </c>
      <c r="C388" s="67" t="s">
        <v>1467</v>
      </c>
      <c r="D388" s="68" t="s">
        <v>1382</v>
      </c>
      <c r="E388" s="60">
        <v>16637</v>
      </c>
      <c r="F388" s="60">
        <v>207623.9</v>
      </c>
      <c r="G388" s="34">
        <f>IFERROR((F388/E388),0)</f>
        <v>12.479647773036003</v>
      </c>
      <c r="H388" s="1">
        <v>760</v>
      </c>
      <c r="I388" s="1">
        <v>8211</v>
      </c>
      <c r="J388" s="65">
        <f>IFERROR((I388/H388),0)</f>
        <v>10.803947368421053</v>
      </c>
      <c r="K388" s="90">
        <f>I388-F388</f>
        <v>-199412.9</v>
      </c>
      <c r="L388" s="90">
        <f>(H388-E388)/1000</f>
        <v>-15.877000000000001</v>
      </c>
      <c r="M388" s="55" t="s">
        <v>1277</v>
      </c>
      <c r="O388" s="19">
        <f>K388/F388</f>
        <v>-0.96045252979064544</v>
      </c>
      <c r="P388" s="19">
        <f>L388/(E388/1000)</f>
        <v>-0.95431868726332869</v>
      </c>
      <c r="R388" s="87" t="s">
        <v>1316</v>
      </c>
    </row>
    <row r="389" spans="2:18" x14ac:dyDescent="0.35">
      <c r="B389" s="84" t="s">
        <v>837</v>
      </c>
      <c r="C389" s="67" t="s">
        <v>746</v>
      </c>
      <c r="D389" s="68" t="s">
        <v>347</v>
      </c>
      <c r="E389" s="60">
        <v>26598</v>
      </c>
      <c r="F389" s="60">
        <v>268428.79999999999</v>
      </c>
      <c r="G389" s="34">
        <f>IFERROR((F389/E389),0)</f>
        <v>10.092067072712233</v>
      </c>
      <c r="H389" s="1">
        <v>5007</v>
      </c>
      <c r="I389" s="1">
        <v>68935</v>
      </c>
      <c r="J389" s="65">
        <f>IFERROR((I389/H389),0)</f>
        <v>13.767725184741362</v>
      </c>
      <c r="K389" s="90">
        <f>I389-F389</f>
        <v>-199493.8</v>
      </c>
      <c r="L389" s="90">
        <f>(H389-E389)/1000</f>
        <v>-21.591000000000001</v>
      </c>
      <c r="M389" s="55" t="s">
        <v>1277</v>
      </c>
      <c r="O389" s="19">
        <f>K389/F389</f>
        <v>-0.74319074555338327</v>
      </c>
      <c r="P389" s="19">
        <f>L389/(E389/1000)</f>
        <v>-0.81175276336566671</v>
      </c>
      <c r="R389" s="87" t="s">
        <v>1601</v>
      </c>
    </row>
    <row r="390" spans="2:18" x14ac:dyDescent="0.35">
      <c r="B390" s="84" t="s">
        <v>1394</v>
      </c>
      <c r="C390" s="67" t="s">
        <v>1461</v>
      </c>
      <c r="D390" s="68" t="s">
        <v>1378</v>
      </c>
      <c r="E390" s="60">
        <v>47576</v>
      </c>
      <c r="F390" s="60">
        <v>580119.19999999995</v>
      </c>
      <c r="G390" s="34">
        <f>IFERROR((F390/E390),0)</f>
        <v>12.193526147637463</v>
      </c>
      <c r="H390" s="1">
        <v>19957</v>
      </c>
      <c r="I390" s="1">
        <v>369785</v>
      </c>
      <c r="J390" s="65">
        <f>IFERROR((I390/H390),0)</f>
        <v>18.529087538207147</v>
      </c>
      <c r="K390" s="90">
        <f>I390-F390</f>
        <v>-210334.19999999995</v>
      </c>
      <c r="L390" s="90">
        <f>(H390-E390)/1000</f>
        <v>-27.619</v>
      </c>
      <c r="M390" s="55" t="s">
        <v>1061</v>
      </c>
      <c r="O390" s="19">
        <f>K390/F390</f>
        <v>-0.36257065789237791</v>
      </c>
      <c r="P390" s="19">
        <f>L390/(E390/1000)</f>
        <v>-0.58052379350933248</v>
      </c>
      <c r="R390" s="87" t="s">
        <v>1307</v>
      </c>
    </row>
    <row r="391" spans="2:18" x14ac:dyDescent="0.35">
      <c r="B391" s="84" t="s">
        <v>829</v>
      </c>
      <c r="C391" s="67" t="s">
        <v>543</v>
      </c>
      <c r="D391" s="68" t="s">
        <v>130</v>
      </c>
      <c r="E391" s="60">
        <v>28248</v>
      </c>
      <c r="F391" s="60">
        <v>298877</v>
      </c>
      <c r="G391" s="34">
        <f>IFERROR((F391/E391),0)</f>
        <v>10.580465873690173</v>
      </c>
      <c r="H391" s="1">
        <v>6828</v>
      </c>
      <c r="I391" s="1">
        <v>87148</v>
      </c>
      <c r="J391" s="65">
        <f>IFERROR((I391/H391),0)</f>
        <v>12.763327475102519</v>
      </c>
      <c r="K391" s="90">
        <f>I391-F391</f>
        <v>-211729</v>
      </c>
      <c r="L391" s="90">
        <f>(H391-E391)/1000</f>
        <v>-21.42</v>
      </c>
      <c r="M391" s="55" t="s">
        <v>1277</v>
      </c>
      <c r="O391" s="19">
        <f>K391/F391</f>
        <v>-0.70841516744346333</v>
      </c>
      <c r="P391" s="19">
        <f>L391/(E391/1000)</f>
        <v>-0.75828377230246391</v>
      </c>
      <c r="R391" s="87" t="s">
        <v>1293</v>
      </c>
    </row>
    <row r="392" spans="2:18" x14ac:dyDescent="0.35">
      <c r="B392" s="84" t="s">
        <v>837</v>
      </c>
      <c r="C392" s="67" t="s">
        <v>770</v>
      </c>
      <c r="D392" s="68" t="s">
        <v>372</v>
      </c>
      <c r="E392" s="60">
        <v>46999</v>
      </c>
      <c r="F392" s="60">
        <v>569399.9</v>
      </c>
      <c r="G392" s="34">
        <f>IFERROR((F392/E392),0)</f>
        <v>12.115149258494862</v>
      </c>
      <c r="H392" s="1">
        <v>31324</v>
      </c>
      <c r="I392" s="1">
        <v>354641</v>
      </c>
      <c r="J392" s="65">
        <f>IFERROR((I392/H392),0)</f>
        <v>11.321702209168688</v>
      </c>
      <c r="K392" s="90">
        <f>I392-F392</f>
        <v>-214758.90000000002</v>
      </c>
      <c r="L392" s="90">
        <f>(H392-E392)/1000</f>
        <v>-15.675000000000001</v>
      </c>
      <c r="M392" s="55" t="s">
        <v>1061</v>
      </c>
      <c r="O392" s="19">
        <f>K392/F392</f>
        <v>-0.37716708415298283</v>
      </c>
      <c r="P392" s="19">
        <f>L392/(E392/1000)</f>
        <v>-0.33351773441988125</v>
      </c>
      <c r="R392" s="87" t="s">
        <v>1282</v>
      </c>
    </row>
    <row r="393" spans="2:18" x14ac:dyDescent="0.35">
      <c r="B393" s="84" t="s">
        <v>1061</v>
      </c>
      <c r="C393" s="67" t="s">
        <v>1003</v>
      </c>
      <c r="D393" s="68" t="s">
        <v>16</v>
      </c>
      <c r="E393" s="59">
        <v>35113</v>
      </c>
      <c r="F393" s="59">
        <v>906629.6</v>
      </c>
      <c r="G393" s="34">
        <f>IFERROR((F393/E393),0)</f>
        <v>25.820340044997579</v>
      </c>
      <c r="H393" s="1">
        <v>34648</v>
      </c>
      <c r="I393" s="1">
        <v>690140</v>
      </c>
      <c r="J393" s="65">
        <f>IFERROR((I393/H393),0)</f>
        <v>19.91861002078042</v>
      </c>
      <c r="K393" s="90">
        <f>I393-F393</f>
        <v>-216489.59999999998</v>
      </c>
      <c r="L393" s="90">
        <f>(H393-E393)/1000</f>
        <v>-0.46500000000000002</v>
      </c>
      <c r="M393" s="55" t="s">
        <v>1061</v>
      </c>
      <c r="O393" s="19">
        <f>K393/F393</f>
        <v>-0.23878505621259219</v>
      </c>
      <c r="P393" s="19">
        <f>L393/(E393/1000)</f>
        <v>-1.3242958448437901E-2</v>
      </c>
      <c r="R393" s="87" t="s">
        <v>1601</v>
      </c>
    </row>
    <row r="394" spans="2:18" x14ac:dyDescent="0.35">
      <c r="B394" s="84" t="s">
        <v>1394</v>
      </c>
      <c r="C394" s="67" t="s">
        <v>1473</v>
      </c>
      <c r="D394" s="68" t="s">
        <v>1386</v>
      </c>
      <c r="E394" s="60">
        <v>250762</v>
      </c>
      <c r="F394" s="60">
        <v>2384386</v>
      </c>
      <c r="G394" s="34">
        <f>IFERROR((F394/E394),0)</f>
        <v>9.5085619033186841</v>
      </c>
      <c r="H394" s="1">
        <v>210419</v>
      </c>
      <c r="I394" s="1">
        <v>2153156</v>
      </c>
      <c r="J394" s="65">
        <f>IFERROR((I394/H394),0)</f>
        <v>10.232707122455672</v>
      </c>
      <c r="K394" s="90">
        <f>I394-F394</f>
        <v>-231230</v>
      </c>
      <c r="L394" s="90">
        <f>(H394-E394)/1000</f>
        <v>-40.343000000000004</v>
      </c>
      <c r="M394" s="55" t="s">
        <v>1061</v>
      </c>
      <c r="O394" s="19">
        <f>K394/F394</f>
        <v>-9.6976747892329518E-2</v>
      </c>
      <c r="P394" s="19">
        <f>L394/(E394/1000)</f>
        <v>-0.16088163278327658</v>
      </c>
      <c r="R394" s="87" t="s">
        <v>1301</v>
      </c>
    </row>
    <row r="395" spans="2:18" x14ac:dyDescent="0.35">
      <c r="B395" s="84" t="s">
        <v>837</v>
      </c>
      <c r="C395" s="67" t="s">
        <v>766</v>
      </c>
      <c r="D395" s="68" t="s">
        <v>367</v>
      </c>
      <c r="E395" s="60">
        <v>25515</v>
      </c>
      <c r="F395" s="60">
        <v>354720.1</v>
      </c>
      <c r="G395" s="34">
        <f>IFERROR((F395/E395),0)</f>
        <v>13.902414266117969</v>
      </c>
      <c r="H395" s="1">
        <v>8711</v>
      </c>
      <c r="I395" s="1">
        <v>122586</v>
      </c>
      <c r="J395" s="65">
        <f>IFERROR((I395/H395),0)</f>
        <v>14.072551945815636</v>
      </c>
      <c r="K395" s="90">
        <f>I395-F395</f>
        <v>-232134.09999999998</v>
      </c>
      <c r="L395" s="90">
        <f>(H395-E395)/1000</f>
        <v>-16.803999999999998</v>
      </c>
      <c r="M395" s="55" t="s">
        <v>1061</v>
      </c>
      <c r="O395" s="19">
        <f>K395/F395</f>
        <v>-0.65441484708647746</v>
      </c>
      <c r="P395" s="19">
        <f>L395/(E395/1000)</f>
        <v>-0.65859298451891035</v>
      </c>
      <c r="R395" s="87" t="s">
        <v>1601</v>
      </c>
    </row>
    <row r="396" spans="2:18" x14ac:dyDescent="0.35">
      <c r="B396" s="84" t="s">
        <v>1219</v>
      </c>
      <c r="C396" s="67" t="s">
        <v>1117</v>
      </c>
      <c r="D396" s="68" t="s">
        <v>1165</v>
      </c>
      <c r="E396" s="60">
        <v>40175</v>
      </c>
      <c r="F396" s="60">
        <v>234466.3</v>
      </c>
      <c r="G396" s="34">
        <f>IFERROR((F396/E396),0)</f>
        <v>5.8361244555071563</v>
      </c>
      <c r="H396" s="1">
        <v>0</v>
      </c>
      <c r="I396" s="1">
        <v>0</v>
      </c>
      <c r="J396" s="65">
        <f>IFERROR((I396/H396),0)</f>
        <v>0</v>
      </c>
      <c r="K396" s="90">
        <f>I396-F396</f>
        <v>-234466.3</v>
      </c>
      <c r="L396" s="90">
        <f>(H396-E396)/1000</f>
        <v>-40.174999999999997</v>
      </c>
      <c r="M396" s="55" t="s">
        <v>845</v>
      </c>
      <c r="O396" s="19">
        <f>K396/F396</f>
        <v>-1</v>
      </c>
      <c r="P396" s="19">
        <f>L396/(E396/1000)</f>
        <v>-1</v>
      </c>
      <c r="R396" s="87" t="s">
        <v>1280</v>
      </c>
    </row>
    <row r="397" spans="2:18" x14ac:dyDescent="0.35">
      <c r="B397" s="84" t="s">
        <v>815</v>
      </c>
      <c r="C397" s="67" t="s">
        <v>655</v>
      </c>
      <c r="D397" s="68" t="s">
        <v>42</v>
      </c>
      <c r="E397" s="60">
        <v>25110</v>
      </c>
      <c r="F397" s="60">
        <v>237290</v>
      </c>
      <c r="G397" s="34">
        <f>IFERROR((F397/E397),0)</f>
        <v>9.4500199123855033</v>
      </c>
      <c r="H397" s="1">
        <v>0</v>
      </c>
      <c r="I397" s="1">
        <v>0</v>
      </c>
      <c r="J397" s="65">
        <f>IFERROR((I397/H397),0)</f>
        <v>0</v>
      </c>
      <c r="K397" s="90">
        <f>I397-F397</f>
        <v>-237290</v>
      </c>
      <c r="L397" s="90">
        <f>(H397-E397)/1000</f>
        <v>-25.11</v>
      </c>
      <c r="M397" s="55" t="s">
        <v>845</v>
      </c>
      <c r="O397" s="19">
        <f>K397/F397</f>
        <v>-1</v>
      </c>
      <c r="P397" s="19">
        <f>L397/(E397/1000)</f>
        <v>-1</v>
      </c>
      <c r="R397" s="87" t="s">
        <v>1285</v>
      </c>
    </row>
    <row r="398" spans="2:18" x14ac:dyDescent="0.35">
      <c r="B398" s="84" t="s">
        <v>837</v>
      </c>
      <c r="C398" s="67" t="s">
        <v>749</v>
      </c>
      <c r="D398" s="68" t="s">
        <v>350</v>
      </c>
      <c r="E398" s="60">
        <v>19026</v>
      </c>
      <c r="F398" s="60">
        <v>328959.09999999998</v>
      </c>
      <c r="G398" s="34">
        <f>IFERROR((F398/E398),0)</f>
        <v>17.289976873751709</v>
      </c>
      <c r="H398" s="1">
        <v>1624</v>
      </c>
      <c r="I398" s="1">
        <v>81227</v>
      </c>
      <c r="J398" s="65">
        <f>IFERROR((I398/H398),0)</f>
        <v>50.016625615763544</v>
      </c>
      <c r="K398" s="90">
        <f>I398-F398</f>
        <v>-247732.09999999998</v>
      </c>
      <c r="L398" s="90">
        <f>(H398-E398)/1000</f>
        <v>-17.402000000000001</v>
      </c>
      <c r="M398" s="55" t="s">
        <v>1277</v>
      </c>
      <c r="O398" s="19">
        <f>K398/F398</f>
        <v>-0.7530787262003088</v>
      </c>
      <c r="P398" s="19">
        <f>L398/(E398/1000)</f>
        <v>-0.91464311994113323</v>
      </c>
      <c r="R398" s="87" t="s">
        <v>1601</v>
      </c>
    </row>
    <row r="399" spans="2:18" x14ac:dyDescent="0.35">
      <c r="B399" s="84" t="s">
        <v>1061</v>
      </c>
      <c r="C399" s="67" t="s">
        <v>418</v>
      </c>
      <c r="D399" s="68" t="s">
        <v>33</v>
      </c>
      <c r="E399" s="60">
        <v>74579</v>
      </c>
      <c r="F399" s="60">
        <v>894442.1</v>
      </c>
      <c r="G399" s="34">
        <f>IFERROR((F399/E399),0)</f>
        <v>11.993216589120262</v>
      </c>
      <c r="H399" s="1">
        <v>51410</v>
      </c>
      <c r="I399" s="1">
        <v>644326</v>
      </c>
      <c r="J399" s="65">
        <f>IFERROR((I399/H399),0)</f>
        <v>12.533086948064579</v>
      </c>
      <c r="K399" s="90">
        <f>I399-F399</f>
        <v>-250116.09999999998</v>
      </c>
      <c r="L399" s="90">
        <f>(H399-E399)/1000</f>
        <v>-23.169</v>
      </c>
      <c r="M399" s="55" t="s">
        <v>1061</v>
      </c>
      <c r="O399" s="19">
        <f>K399/F399</f>
        <v>-0.27963363978506822</v>
      </c>
      <c r="P399" s="19">
        <f>L399/(E399/1000)</f>
        <v>-0.31066385979967553</v>
      </c>
      <c r="R399" s="87" t="s">
        <v>1601</v>
      </c>
    </row>
    <row r="400" spans="2:18" x14ac:dyDescent="0.35">
      <c r="B400" s="84" t="s">
        <v>1061</v>
      </c>
      <c r="C400" s="67" t="s">
        <v>439</v>
      </c>
      <c r="D400" s="68" t="s">
        <v>46</v>
      </c>
      <c r="E400" s="59">
        <v>42178</v>
      </c>
      <c r="F400" s="59">
        <v>574329.59999999998</v>
      </c>
      <c r="G400" s="34">
        <f>IFERROR((F400/E400),0)</f>
        <v>13.616804969415334</v>
      </c>
      <c r="H400" s="1">
        <v>16099</v>
      </c>
      <c r="I400" s="1">
        <v>315657</v>
      </c>
      <c r="J400" s="65">
        <f>IFERROR((I400/H400),0)</f>
        <v>19.607242685881111</v>
      </c>
      <c r="K400" s="90">
        <f>I400-F400</f>
        <v>-258672.59999999998</v>
      </c>
      <c r="L400" s="90">
        <f>(H400-E400)/1000</f>
        <v>-26.079000000000001</v>
      </c>
      <c r="M400" s="55" t="s">
        <v>1061</v>
      </c>
      <c r="O400" s="19">
        <f>K400/F400</f>
        <v>-0.45039050747166781</v>
      </c>
      <c r="P400" s="19">
        <f>L400/(E400/1000)</f>
        <v>-0.61830812271800473</v>
      </c>
      <c r="R400" s="87" t="s">
        <v>1060</v>
      </c>
    </row>
    <row r="401" spans="2:18" x14ac:dyDescent="0.35">
      <c r="B401" s="84" t="s">
        <v>976</v>
      </c>
      <c r="C401" s="67" t="s">
        <v>744</v>
      </c>
      <c r="D401" s="68" t="s">
        <v>344</v>
      </c>
      <c r="E401" s="60">
        <v>21464</v>
      </c>
      <c r="F401" s="60">
        <v>280984.3</v>
      </c>
      <c r="G401" s="34">
        <f>IFERROR((F401/E401),0)</f>
        <v>13.090956951174059</v>
      </c>
      <c r="H401" s="1">
        <v>0</v>
      </c>
      <c r="I401" s="1">
        <v>0</v>
      </c>
      <c r="J401" s="65">
        <f>IFERROR((I401/H401),0)</f>
        <v>0</v>
      </c>
      <c r="K401" s="90">
        <f>I401-F401</f>
        <v>-280984.3</v>
      </c>
      <c r="L401" s="90">
        <f>(H401-E401)/1000</f>
        <v>-21.463999999999999</v>
      </c>
      <c r="M401" s="55" t="s">
        <v>845</v>
      </c>
      <c r="O401" s="19">
        <f>K401/F401</f>
        <v>-1</v>
      </c>
      <c r="P401" s="19">
        <f>L401/(E401/1000)</f>
        <v>-1</v>
      </c>
      <c r="R401" s="87" t="s">
        <v>1601</v>
      </c>
    </row>
    <row r="402" spans="2:18" x14ac:dyDescent="0.35">
      <c r="B402" s="84" t="s">
        <v>1394</v>
      </c>
      <c r="C402" s="67" t="s">
        <v>1427</v>
      </c>
      <c r="D402" s="68" t="s">
        <v>1355</v>
      </c>
      <c r="E402" s="60">
        <v>77383</v>
      </c>
      <c r="F402" s="60">
        <v>696132.2</v>
      </c>
      <c r="G402" s="34">
        <f>IFERROR((F402/E402),0)</f>
        <v>8.9959319230321899</v>
      </c>
      <c r="H402" s="1">
        <v>46711</v>
      </c>
      <c r="I402" s="1">
        <v>413293</v>
      </c>
      <c r="J402" s="65">
        <f>IFERROR((I402/H402),0)</f>
        <v>8.847873091991179</v>
      </c>
      <c r="K402" s="90">
        <f>I402-F402</f>
        <v>-282839.19999999995</v>
      </c>
      <c r="L402" s="90">
        <f>(H402-E402)/1000</f>
        <v>-30.672000000000001</v>
      </c>
      <c r="M402" s="55" t="s">
        <v>1061</v>
      </c>
      <c r="O402" s="19">
        <f>K402/F402</f>
        <v>-0.40630098708262591</v>
      </c>
      <c r="P402" s="19">
        <f>L402/(E402/1000)</f>
        <v>-0.39636612692710288</v>
      </c>
      <c r="R402" s="87" t="s">
        <v>1310</v>
      </c>
    </row>
    <row r="403" spans="2:18" x14ac:dyDescent="0.35">
      <c r="B403" s="84" t="s">
        <v>1394</v>
      </c>
      <c r="C403" s="67" t="s">
        <v>1452</v>
      </c>
      <c r="D403" s="68" t="s">
        <v>1370</v>
      </c>
      <c r="E403" s="60">
        <v>53460</v>
      </c>
      <c r="F403" s="60">
        <v>769251.4</v>
      </c>
      <c r="G403" s="34">
        <f>IFERROR((F403/E403),0)</f>
        <v>14.389289188178077</v>
      </c>
      <c r="H403" s="1">
        <v>37434</v>
      </c>
      <c r="I403" s="1">
        <v>473403</v>
      </c>
      <c r="J403" s="65">
        <f>IFERROR((I403/H403),0)</f>
        <v>12.646337554095208</v>
      </c>
      <c r="K403" s="90">
        <f>I403-F403</f>
        <v>-295848.40000000002</v>
      </c>
      <c r="L403" s="90">
        <f>(H403-E403)/1000</f>
        <v>-16.026</v>
      </c>
      <c r="M403" s="55" t="s">
        <v>1061</v>
      </c>
      <c r="O403" s="19">
        <f>K403/F403</f>
        <v>-0.38459260522632782</v>
      </c>
      <c r="P403" s="19">
        <f>L403/(E403/1000)</f>
        <v>-0.29977553310886645</v>
      </c>
      <c r="R403" s="87" t="s">
        <v>1297</v>
      </c>
    </row>
    <row r="404" spans="2:18" x14ac:dyDescent="0.35">
      <c r="B404" s="84" t="s">
        <v>1061</v>
      </c>
      <c r="C404" s="67" t="s">
        <v>420</v>
      </c>
      <c r="D404" s="68" t="s">
        <v>11</v>
      </c>
      <c r="E404" s="60">
        <v>182090</v>
      </c>
      <c r="F404" s="60">
        <v>2731008</v>
      </c>
      <c r="G404" s="34">
        <f>IFERROR((F404/E404),0)</f>
        <v>14.998121807897194</v>
      </c>
      <c r="H404" s="1">
        <v>156265</v>
      </c>
      <c r="I404" s="1">
        <v>2435105</v>
      </c>
      <c r="J404" s="65">
        <f>IFERROR((I404/H404),0)</f>
        <v>15.58317601510255</v>
      </c>
      <c r="K404" s="90">
        <f>I404-F404</f>
        <v>-295903</v>
      </c>
      <c r="L404" s="90">
        <f>(H404-E404)/1000</f>
        <v>-25.824999999999999</v>
      </c>
      <c r="M404" s="55" t="s">
        <v>1061</v>
      </c>
      <c r="O404" s="19">
        <f>K404/F404</f>
        <v>-0.10834937136764154</v>
      </c>
      <c r="P404" s="19">
        <f>L404/(E404/1000)</f>
        <v>-0.14182547092097314</v>
      </c>
      <c r="R404" s="87" t="s">
        <v>1286</v>
      </c>
    </row>
    <row r="405" spans="2:18" x14ac:dyDescent="0.35">
      <c r="B405" s="84" t="s">
        <v>1061</v>
      </c>
      <c r="C405" s="67" t="s">
        <v>993</v>
      </c>
      <c r="D405" s="68" t="s">
        <v>21</v>
      </c>
      <c r="E405" s="60">
        <v>149274</v>
      </c>
      <c r="F405" s="60">
        <v>1786526</v>
      </c>
      <c r="G405" s="34">
        <f>IFERROR((F405/E405),0)</f>
        <v>11.968098932165011</v>
      </c>
      <c r="H405" s="1">
        <v>74569.78</v>
      </c>
      <c r="I405" s="1">
        <v>1476437</v>
      </c>
      <c r="J405" s="65">
        <f>IFERROR((I405/H405),0)</f>
        <v>19.799401312435144</v>
      </c>
      <c r="K405" s="90">
        <f>I405-F405</f>
        <v>-310089</v>
      </c>
      <c r="L405" s="90">
        <f>(H405-E405)/1000</f>
        <v>-74.704220000000007</v>
      </c>
      <c r="M405" s="55" t="s">
        <v>1061</v>
      </c>
      <c r="O405" s="19">
        <f>K405/F405</f>
        <v>-0.17357094159278957</v>
      </c>
      <c r="P405" s="19">
        <f>L405/(E405/1000)</f>
        <v>-0.5004503128475154</v>
      </c>
      <c r="R405" s="87" t="s">
        <v>1281</v>
      </c>
    </row>
    <row r="406" spans="2:18" x14ac:dyDescent="0.35">
      <c r="B406" s="84" t="s">
        <v>815</v>
      </c>
      <c r="C406" s="67" t="s">
        <v>664</v>
      </c>
      <c r="D406" s="68" t="s">
        <v>73</v>
      </c>
      <c r="E406" s="60">
        <v>29276</v>
      </c>
      <c r="F406" s="60">
        <v>631482.30000000005</v>
      </c>
      <c r="G406" s="34">
        <f>IFERROR((F406/E406),0)</f>
        <v>21.569965159174753</v>
      </c>
      <c r="H406" s="1">
        <v>18235</v>
      </c>
      <c r="I406" s="1">
        <v>317270</v>
      </c>
      <c r="J406" s="65">
        <f>IFERROR((I406/H406),0)</f>
        <v>17.398958047710448</v>
      </c>
      <c r="K406" s="90">
        <f>I406-F406</f>
        <v>-314212.30000000005</v>
      </c>
      <c r="L406" s="90">
        <f>(H406-E406)/1000</f>
        <v>-11.041</v>
      </c>
      <c r="M406" s="55" t="s">
        <v>1061</v>
      </c>
      <c r="O406" s="19">
        <f>K406/F406</f>
        <v>-0.497578950352211</v>
      </c>
      <c r="P406" s="19">
        <f>L406/(E406/1000)</f>
        <v>-0.37713485448831807</v>
      </c>
      <c r="R406" s="87" t="s">
        <v>1287</v>
      </c>
    </row>
    <row r="407" spans="2:18" x14ac:dyDescent="0.35">
      <c r="B407" s="84" t="s">
        <v>837</v>
      </c>
      <c r="C407" s="67" t="s">
        <v>745</v>
      </c>
      <c r="D407" s="68" t="s">
        <v>346</v>
      </c>
      <c r="E407" s="59">
        <v>14578</v>
      </c>
      <c r="F407" s="59">
        <v>411415.2</v>
      </c>
      <c r="G407" s="34">
        <f>IFERROR((F407/E407),0)</f>
        <v>28.22164906022774</v>
      </c>
      <c r="H407" s="1">
        <v>1230</v>
      </c>
      <c r="I407" s="1">
        <v>76296</v>
      </c>
      <c r="J407" s="65">
        <f>IFERROR((I407/H407),0)</f>
        <v>62.029268292682929</v>
      </c>
      <c r="K407" s="90">
        <f>I407-F407</f>
        <v>-335119.2</v>
      </c>
      <c r="L407" s="90">
        <f>(H407-E407)/1000</f>
        <v>-13.348000000000001</v>
      </c>
      <c r="M407" s="55" t="s">
        <v>1277</v>
      </c>
      <c r="O407" s="19">
        <f>K407/F407</f>
        <v>-0.81455230628328756</v>
      </c>
      <c r="P407" s="19">
        <f>L407/(E407/1000)</f>
        <v>-0.91562628618466191</v>
      </c>
      <c r="R407" s="87" t="s">
        <v>1601</v>
      </c>
    </row>
    <row r="408" spans="2:18" x14ac:dyDescent="0.35">
      <c r="B408" s="84" t="s">
        <v>1394</v>
      </c>
      <c r="C408" s="67" t="s">
        <v>1438</v>
      </c>
      <c r="D408" s="68" t="s">
        <v>1359</v>
      </c>
      <c r="E408" s="60">
        <v>24961</v>
      </c>
      <c r="F408" s="60">
        <v>385107.5</v>
      </c>
      <c r="G408" s="34">
        <f>IFERROR((F408/E408),0)</f>
        <v>15.428368254476984</v>
      </c>
      <c r="H408" s="1">
        <v>4511</v>
      </c>
      <c r="I408" s="1">
        <v>42942</v>
      </c>
      <c r="J408" s="65">
        <f>IFERROR((I408/H408),0)</f>
        <v>9.5193970294834855</v>
      </c>
      <c r="K408" s="90">
        <f>I408-F408</f>
        <v>-342165.5</v>
      </c>
      <c r="L408" s="90">
        <f>(H408-E408)/1000</f>
        <v>-20.45</v>
      </c>
      <c r="M408" s="55" t="s">
        <v>1277</v>
      </c>
      <c r="O408" s="19">
        <f>K408/F408</f>
        <v>-0.888493472601806</v>
      </c>
      <c r="P408" s="19">
        <f>L408/(E408/1000)</f>
        <v>-0.81927807379512041</v>
      </c>
      <c r="R408" s="87" t="s">
        <v>1303</v>
      </c>
    </row>
    <row r="409" spans="2:18" x14ac:dyDescent="0.35">
      <c r="B409" s="84" t="s">
        <v>1061</v>
      </c>
      <c r="C409" s="67" t="s">
        <v>489</v>
      </c>
      <c r="D409" s="68" t="s">
        <v>98</v>
      </c>
      <c r="E409" s="60">
        <v>42465</v>
      </c>
      <c r="F409" s="60">
        <v>680514.1</v>
      </c>
      <c r="G409" s="34">
        <f>IFERROR((F409/E409),0)</f>
        <v>16.025293771341104</v>
      </c>
      <c r="H409" s="1">
        <v>16215</v>
      </c>
      <c r="I409" s="1">
        <v>313461</v>
      </c>
      <c r="J409" s="65">
        <f>IFERROR((I409/H409),0)</f>
        <v>19.331544865864942</v>
      </c>
      <c r="K409" s="90">
        <f>I409-F409</f>
        <v>-367053.1</v>
      </c>
      <c r="L409" s="90">
        <f>(H409-E409)/1000</f>
        <v>-26.25</v>
      </c>
      <c r="M409" s="55" t="s">
        <v>1061</v>
      </c>
      <c r="O409" s="19">
        <f>K409/F409</f>
        <v>-0.53937618632736628</v>
      </c>
      <c r="P409" s="19">
        <f>L409/(E409/1000)</f>
        <v>-0.61815612857647473</v>
      </c>
      <c r="R409" s="87" t="s">
        <v>1601</v>
      </c>
    </row>
    <row r="410" spans="2:18" x14ac:dyDescent="0.35">
      <c r="B410" s="84" t="s">
        <v>1595</v>
      </c>
      <c r="C410" s="67" t="s">
        <v>1516</v>
      </c>
      <c r="D410" s="68" t="s">
        <v>1567</v>
      </c>
      <c r="E410" s="60">
        <v>33697</v>
      </c>
      <c r="F410" s="60">
        <v>395339.6</v>
      </c>
      <c r="G410" s="34">
        <f>IFERROR((F410/E410),0)</f>
        <v>11.732189809181826</v>
      </c>
      <c r="H410" s="1">
        <v>1396</v>
      </c>
      <c r="I410" s="1">
        <v>26868</v>
      </c>
      <c r="J410" s="65">
        <f>IFERROR((I410/H410),0)</f>
        <v>19.246418338108882</v>
      </c>
      <c r="K410" s="90">
        <f>I410-F410</f>
        <v>-368471.6</v>
      </c>
      <c r="L410" s="90">
        <f>(H410-E410)/1000</f>
        <v>-32.301000000000002</v>
      </c>
      <c r="M410" s="55" t="s">
        <v>1277</v>
      </c>
      <c r="O410" s="19">
        <f>K410/F410</f>
        <v>-0.93203817679787204</v>
      </c>
      <c r="P410" s="19">
        <f>L410/(E410/1000)</f>
        <v>-0.95857197970145713</v>
      </c>
      <c r="R410" s="87" t="s">
        <v>1287</v>
      </c>
    </row>
    <row r="411" spans="2:18" x14ac:dyDescent="0.35">
      <c r="B411" s="84" t="s">
        <v>1595</v>
      </c>
      <c r="C411" s="67" t="s">
        <v>1504</v>
      </c>
      <c r="D411" s="68" t="s">
        <v>1556</v>
      </c>
      <c r="E411" s="60">
        <v>26848</v>
      </c>
      <c r="F411" s="60">
        <v>386385.4</v>
      </c>
      <c r="G411" s="34">
        <f>IFERROR((F411/E411),0)</f>
        <v>14.391589690107271</v>
      </c>
      <c r="H411" s="1">
        <v>0</v>
      </c>
      <c r="I411" s="1">
        <v>0</v>
      </c>
      <c r="J411" s="65">
        <f>IFERROR((I411/H411),0)</f>
        <v>0</v>
      </c>
      <c r="K411" s="90">
        <f>I411-F411</f>
        <v>-386385.4</v>
      </c>
      <c r="L411" s="90">
        <f>(H411-E411)/1000</f>
        <v>-26.847999999999999</v>
      </c>
      <c r="M411" s="55" t="s">
        <v>845</v>
      </c>
      <c r="O411" s="19">
        <f>K411/F411</f>
        <v>-1</v>
      </c>
      <c r="P411" s="19">
        <f>L411/(E411/1000)</f>
        <v>-1</v>
      </c>
      <c r="R411" s="87" t="s">
        <v>1294</v>
      </c>
    </row>
    <row r="412" spans="2:18" x14ac:dyDescent="0.35">
      <c r="B412" s="84" t="s">
        <v>1061</v>
      </c>
      <c r="C412" s="67" t="s">
        <v>400</v>
      </c>
      <c r="D412" s="68" t="s">
        <v>83</v>
      </c>
      <c r="E412" s="60">
        <v>27967</v>
      </c>
      <c r="F412" s="60">
        <v>452451.4</v>
      </c>
      <c r="G412" s="34">
        <f>IFERROR((F412/E412),0)</f>
        <v>16.178045553688275</v>
      </c>
      <c r="H412" s="1">
        <v>1773</v>
      </c>
      <c r="I412" s="1">
        <v>45880</v>
      </c>
      <c r="J412" s="65">
        <f>IFERROR((I412/H412),0)</f>
        <v>25.877044557247604</v>
      </c>
      <c r="K412" s="90">
        <f>I412-F412</f>
        <v>-406571.4</v>
      </c>
      <c r="L412" s="90">
        <f>(H412-E412)/1000</f>
        <v>-26.193999999999999</v>
      </c>
      <c r="M412" s="55" t="s">
        <v>1277</v>
      </c>
      <c r="O412" s="19">
        <f>K412/F412</f>
        <v>-0.89859684377150784</v>
      </c>
      <c r="P412" s="19">
        <f>L412/(E412/1000)</f>
        <v>-0.93660385454285411</v>
      </c>
      <c r="R412" s="87" t="s">
        <v>1286</v>
      </c>
    </row>
    <row r="413" spans="2:18" x14ac:dyDescent="0.35">
      <c r="B413" s="84" t="s">
        <v>1219</v>
      </c>
      <c r="C413" s="67" t="s">
        <v>1142</v>
      </c>
      <c r="D413" s="68" t="s">
        <v>1199</v>
      </c>
      <c r="E413" s="60">
        <v>50507</v>
      </c>
      <c r="F413" s="60">
        <v>603263.19999999995</v>
      </c>
      <c r="G413" s="34">
        <f>IFERROR((F413/E413),0)</f>
        <v>11.94415031579781</v>
      </c>
      <c r="H413" s="1">
        <v>15328</v>
      </c>
      <c r="I413" s="1">
        <v>167251</v>
      </c>
      <c r="J413" s="65">
        <f>IFERROR((I413/H413),0)</f>
        <v>10.911469206680584</v>
      </c>
      <c r="K413" s="90">
        <f>I413-F413</f>
        <v>-436012.19999999995</v>
      </c>
      <c r="L413" s="90">
        <f>(H413-E413)/1000</f>
        <v>-35.179000000000002</v>
      </c>
      <c r="M413" s="55" t="s">
        <v>1277</v>
      </c>
      <c r="O413" s="19">
        <f>K413/F413</f>
        <v>-0.72275617010949778</v>
      </c>
      <c r="P413" s="19">
        <f>L413/(E413/1000)</f>
        <v>-0.69651731443166298</v>
      </c>
      <c r="R413" s="87" t="s">
        <v>1287</v>
      </c>
    </row>
    <row r="414" spans="2:18" x14ac:dyDescent="0.35">
      <c r="B414" s="84" t="s">
        <v>1061</v>
      </c>
      <c r="C414" s="67" t="s">
        <v>614</v>
      </c>
      <c r="D414" s="68" t="s">
        <v>29</v>
      </c>
      <c r="E414" s="60">
        <v>36977</v>
      </c>
      <c r="F414" s="60">
        <v>694657.2</v>
      </c>
      <c r="G414" s="34">
        <f>IFERROR((F414/E414),0)</f>
        <v>18.786196825053409</v>
      </c>
      <c r="H414" s="1">
        <v>5357</v>
      </c>
      <c r="I414" s="1">
        <v>250422</v>
      </c>
      <c r="J414" s="65">
        <f>IFERROR((I414/H414),0)</f>
        <v>46.746686578308754</v>
      </c>
      <c r="K414" s="90">
        <f>I414-F414</f>
        <v>-444235.19999999995</v>
      </c>
      <c r="L414" s="90">
        <f>(H414-E414)/1000</f>
        <v>-31.62</v>
      </c>
      <c r="M414" s="55" t="s">
        <v>1061</v>
      </c>
      <c r="O414" s="19">
        <f>K414/F414</f>
        <v>-0.63950276481694857</v>
      </c>
      <c r="P414" s="19">
        <f>L414/(E414/1000)</f>
        <v>-0.85512615950455695</v>
      </c>
      <c r="R414" s="87" t="s">
        <v>1060</v>
      </c>
    </row>
    <row r="415" spans="2:18" x14ac:dyDescent="0.35">
      <c r="B415" s="84" t="s">
        <v>837</v>
      </c>
      <c r="C415" s="67" t="s">
        <v>774</v>
      </c>
      <c r="D415" s="68" t="s">
        <v>376</v>
      </c>
      <c r="E415" s="60">
        <v>32731</v>
      </c>
      <c r="F415" s="60">
        <v>463274.6</v>
      </c>
      <c r="G415" s="34">
        <f>IFERROR((F415/E415),0)</f>
        <v>14.154000794353976</v>
      </c>
      <c r="H415" s="1">
        <v>160</v>
      </c>
      <c r="I415" s="1">
        <v>4806</v>
      </c>
      <c r="J415" s="65">
        <f>IFERROR((I415/H415),0)</f>
        <v>30.037500000000001</v>
      </c>
      <c r="K415" s="90">
        <f>I415-F415</f>
        <v>-458468.6</v>
      </c>
      <c r="L415" s="90">
        <f>(H415-E415)/1000</f>
        <v>-32.570999999999998</v>
      </c>
      <c r="M415" s="55" t="s">
        <v>1277</v>
      </c>
      <c r="O415" s="19">
        <f>K415/F415</f>
        <v>-0.9896260230973164</v>
      </c>
      <c r="P415" s="19">
        <f>L415/(E415/1000)</f>
        <v>-0.99511166783782945</v>
      </c>
      <c r="R415" s="87" t="s">
        <v>1285</v>
      </c>
    </row>
    <row r="416" spans="2:18" x14ac:dyDescent="0.35">
      <c r="B416" s="84" t="s">
        <v>1061</v>
      </c>
      <c r="C416" s="67" t="s">
        <v>1150</v>
      </c>
      <c r="D416" s="68" t="s">
        <v>955</v>
      </c>
      <c r="E416" s="60">
        <v>61000</v>
      </c>
      <c r="F416" s="60">
        <v>715049.5</v>
      </c>
      <c r="G416" s="34">
        <f>IFERROR((F416/E416),0)</f>
        <v>11.722122950819672</v>
      </c>
      <c r="H416" s="1">
        <v>14653</v>
      </c>
      <c r="I416" s="1">
        <v>227377</v>
      </c>
      <c r="J416" s="65">
        <f>IFERROR((I416/H416),0)</f>
        <v>15.517436702381765</v>
      </c>
      <c r="K416" s="90">
        <f>I416-F416</f>
        <v>-487672.5</v>
      </c>
      <c r="L416" s="90">
        <f>(H416-E416)/1000</f>
        <v>-46.347000000000001</v>
      </c>
      <c r="M416" s="55" t="s">
        <v>1061</v>
      </c>
      <c r="O416" s="19">
        <f>K416/F416</f>
        <v>-0.68201222432852548</v>
      </c>
      <c r="P416" s="19">
        <f>L416/(E416/1000)</f>
        <v>-0.75978688524590166</v>
      </c>
      <c r="R416" s="87" t="s">
        <v>1307</v>
      </c>
    </row>
    <row r="417" spans="2:18" x14ac:dyDescent="0.35">
      <c r="B417" s="84" t="s">
        <v>837</v>
      </c>
      <c r="C417" s="67" t="s">
        <v>750</v>
      </c>
      <c r="D417" s="68" t="s">
        <v>351</v>
      </c>
      <c r="E417" s="60">
        <v>170472</v>
      </c>
      <c r="F417" s="60">
        <v>1823659</v>
      </c>
      <c r="G417" s="34">
        <f>IFERROR((F417/E417),0)</f>
        <v>10.697704021774836</v>
      </c>
      <c r="H417" s="1">
        <v>106163</v>
      </c>
      <c r="I417" s="1">
        <v>1327204</v>
      </c>
      <c r="J417" s="65">
        <f>IFERROR((I417/H417),0)</f>
        <v>12.501568343019697</v>
      </c>
      <c r="K417" s="90">
        <f>I417-F417</f>
        <v>-496455</v>
      </c>
      <c r="L417" s="90">
        <f>(H417-E417)/1000</f>
        <v>-64.308999999999997</v>
      </c>
      <c r="M417" s="55" t="s">
        <v>843</v>
      </c>
      <c r="O417" s="19">
        <f>K417/F417</f>
        <v>-0.2722301702237096</v>
      </c>
      <c r="P417" s="19">
        <f>L417/(E417/1000)</f>
        <v>-0.37724083720493684</v>
      </c>
      <c r="R417" s="87" t="s">
        <v>1298</v>
      </c>
    </row>
    <row r="418" spans="2:18" x14ac:dyDescent="0.35">
      <c r="B418" s="84" t="s">
        <v>825</v>
      </c>
      <c r="C418" s="67" t="s">
        <v>602</v>
      </c>
      <c r="D418" s="68" t="s">
        <v>156</v>
      </c>
      <c r="E418" s="59">
        <v>31177</v>
      </c>
      <c r="F418" s="59">
        <v>699075.1</v>
      </c>
      <c r="G418" s="34">
        <f>IFERROR((F418/E418),0)</f>
        <v>22.422782820669081</v>
      </c>
      <c r="H418" s="1">
        <v>7699</v>
      </c>
      <c r="I418" s="1">
        <v>191994</v>
      </c>
      <c r="J418" s="65">
        <f>IFERROR((I418/H418),0)</f>
        <v>24.937524353812183</v>
      </c>
      <c r="K418" s="90">
        <f>I418-F418</f>
        <v>-507081.1</v>
      </c>
      <c r="L418" s="90">
        <f>(H418-E418)/1000</f>
        <v>-23.478000000000002</v>
      </c>
      <c r="M418" s="55" t="s">
        <v>843</v>
      </c>
      <c r="O418" s="19">
        <f>K418/F418</f>
        <v>-0.72535997920681194</v>
      </c>
      <c r="P418" s="19">
        <f>L418/(E418/1000)</f>
        <v>-0.75305513679956382</v>
      </c>
      <c r="R418" s="87" t="s">
        <v>1298</v>
      </c>
    </row>
    <row r="419" spans="2:18" x14ac:dyDescent="0.35">
      <c r="B419" s="84" t="s">
        <v>1219</v>
      </c>
      <c r="C419" s="67" t="s">
        <v>1107</v>
      </c>
      <c r="D419" s="68" t="s">
        <v>1168</v>
      </c>
      <c r="E419" s="60">
        <v>97086</v>
      </c>
      <c r="F419" s="60">
        <v>870195.4</v>
      </c>
      <c r="G419" s="34">
        <f>IFERROR((F419/E419),0)</f>
        <v>8.9631398965865312</v>
      </c>
      <c r="H419" s="1">
        <v>29323</v>
      </c>
      <c r="I419" s="1">
        <v>328481</v>
      </c>
      <c r="J419" s="65">
        <f>IFERROR((I419/H419),0)</f>
        <v>11.202162125294137</v>
      </c>
      <c r="K419" s="90">
        <f>I419-F419</f>
        <v>-541714.4</v>
      </c>
      <c r="L419" s="90">
        <f>(H419-E419)/1000</f>
        <v>-67.763000000000005</v>
      </c>
      <c r="M419" s="55" t="s">
        <v>843</v>
      </c>
      <c r="O419" s="19">
        <f>K419/F419</f>
        <v>-0.62252041323132712</v>
      </c>
      <c r="P419" s="19">
        <f>L419/(E419/1000)</f>
        <v>-0.69796881115711851</v>
      </c>
      <c r="R419" s="87" t="s">
        <v>1310</v>
      </c>
    </row>
    <row r="420" spans="2:18" x14ac:dyDescent="0.35">
      <c r="B420" s="84" t="s">
        <v>1219</v>
      </c>
      <c r="C420" s="67" t="s">
        <v>1137</v>
      </c>
      <c r="D420" s="68" t="s">
        <v>1163</v>
      </c>
      <c r="E420" s="60">
        <v>139612</v>
      </c>
      <c r="F420" s="60">
        <v>1478729</v>
      </c>
      <c r="G420" s="34">
        <f>IFERROR((F420/E420),0)</f>
        <v>10.591704151505601</v>
      </c>
      <c r="H420" s="1">
        <v>80443</v>
      </c>
      <c r="I420" s="1">
        <v>885172</v>
      </c>
      <c r="J420" s="65">
        <f>IFERROR((I420/H420),0)</f>
        <v>11.003716917568962</v>
      </c>
      <c r="K420" s="90">
        <f>I420-F420</f>
        <v>-593557</v>
      </c>
      <c r="L420" s="90">
        <f>(H420-E420)/1000</f>
        <v>-59.168999999999997</v>
      </c>
      <c r="M420" s="55" t="s">
        <v>843</v>
      </c>
      <c r="O420" s="19">
        <f>K420/F420</f>
        <v>-0.40139674003823556</v>
      </c>
      <c r="P420" s="19">
        <f>L420/(E420/1000)</f>
        <v>-0.42381027418846517</v>
      </c>
      <c r="R420" s="87" t="s">
        <v>1296</v>
      </c>
    </row>
    <row r="421" spans="2:18" x14ac:dyDescent="0.35">
      <c r="B421" s="84" t="s">
        <v>817</v>
      </c>
      <c r="C421" s="67" t="s">
        <v>442</v>
      </c>
      <c r="D421" s="68" t="s">
        <v>45</v>
      </c>
      <c r="E421" s="60">
        <v>73457</v>
      </c>
      <c r="F421" s="60">
        <v>749911.7</v>
      </c>
      <c r="G421" s="34">
        <f>IFERROR((F421/E421),0)</f>
        <v>10.208852798235702</v>
      </c>
      <c r="H421" s="1">
        <v>7417</v>
      </c>
      <c r="I421" s="1">
        <v>97958</v>
      </c>
      <c r="J421" s="65">
        <f>IFERROR((I421/H421),0)</f>
        <v>13.207226641499258</v>
      </c>
      <c r="K421" s="90">
        <f>I421-F421</f>
        <v>-651953.69999999995</v>
      </c>
      <c r="L421" s="90">
        <f>(H421-E421)/1000</f>
        <v>-66.040000000000006</v>
      </c>
      <c r="M421" s="55" t="s">
        <v>843</v>
      </c>
      <c r="O421" s="19">
        <f>K421/F421</f>
        <v>-0.86937395429355213</v>
      </c>
      <c r="P421" s="19">
        <f>L421/(E421/1000)</f>
        <v>-0.89902936411778334</v>
      </c>
      <c r="R421" s="87" t="s">
        <v>1601</v>
      </c>
    </row>
    <row r="422" spans="2:18" x14ac:dyDescent="0.35">
      <c r="B422" s="84" t="s">
        <v>1221</v>
      </c>
      <c r="C422" s="67" t="s">
        <v>521</v>
      </c>
      <c r="D422" s="68" t="s">
        <v>14</v>
      </c>
      <c r="E422" s="60">
        <v>205123</v>
      </c>
      <c r="F422" s="60">
        <v>2047308</v>
      </c>
      <c r="G422" s="34">
        <f>IFERROR((F422/E422),0)</f>
        <v>9.9808797648240333</v>
      </c>
      <c r="H422" s="1">
        <v>134125</v>
      </c>
      <c r="I422" s="1">
        <v>1381802</v>
      </c>
      <c r="J422" s="65">
        <f>IFERROR((I422/H422),0)</f>
        <v>10.302344827586207</v>
      </c>
      <c r="K422" s="90">
        <f>I422-F422</f>
        <v>-665506</v>
      </c>
      <c r="L422" s="90">
        <f>(H422-E422)/1000</f>
        <v>-70.998000000000005</v>
      </c>
      <c r="M422" s="55" t="s">
        <v>843</v>
      </c>
      <c r="O422" s="19">
        <f>K422/F422</f>
        <v>-0.32506393761954722</v>
      </c>
      <c r="P422" s="19">
        <f>L422/(E422/1000)</f>
        <v>-0.34612403289733479</v>
      </c>
      <c r="R422" s="87" t="s">
        <v>1062</v>
      </c>
    </row>
    <row r="423" spans="2:18" x14ac:dyDescent="0.35">
      <c r="B423" s="84" t="s">
        <v>817</v>
      </c>
      <c r="C423" s="67" t="s">
        <v>795</v>
      </c>
      <c r="D423" s="68" t="s">
        <v>8</v>
      </c>
      <c r="E423" s="60">
        <v>102988</v>
      </c>
      <c r="F423" s="60">
        <v>1936400</v>
      </c>
      <c r="G423" s="34">
        <f>IFERROR((F423/E423),0)</f>
        <v>18.802190546471433</v>
      </c>
      <c r="H423" s="1">
        <v>27704</v>
      </c>
      <c r="I423" s="1">
        <v>1157432</v>
      </c>
      <c r="J423" s="65">
        <f>IFERROR((I423/H423),0)</f>
        <v>41.778515737799594</v>
      </c>
      <c r="K423" s="90">
        <f>I423-F423</f>
        <v>-778968</v>
      </c>
      <c r="L423" s="90">
        <f>(H423-E423)/1000</f>
        <v>-75.284000000000006</v>
      </c>
      <c r="M423" s="55" t="s">
        <v>843</v>
      </c>
      <c r="O423" s="19">
        <f>K423/F423</f>
        <v>-0.40227638917579012</v>
      </c>
      <c r="P423" s="19">
        <f>L423/(E423/1000)</f>
        <v>-0.73099778614984279</v>
      </c>
      <c r="R423" s="87" t="s">
        <v>1286</v>
      </c>
    </row>
    <row r="424" spans="2:18" x14ac:dyDescent="0.35">
      <c r="B424" s="84" t="s">
        <v>1061</v>
      </c>
      <c r="C424" s="67" t="s">
        <v>984</v>
      </c>
      <c r="D424" s="68" t="s">
        <v>59</v>
      </c>
      <c r="E424" s="60">
        <v>64887</v>
      </c>
      <c r="F424" s="60">
        <v>1239221</v>
      </c>
      <c r="G424" s="34">
        <f>IFERROR((F424/E424),0)</f>
        <v>19.09813984311187</v>
      </c>
      <c r="H424" s="1">
        <v>16112</v>
      </c>
      <c r="I424" s="1">
        <v>447638</v>
      </c>
      <c r="J424" s="65">
        <f>IFERROR((I424/H424),0)</f>
        <v>27.782894736842106</v>
      </c>
      <c r="K424" s="90">
        <f>I424-F424</f>
        <v>-791583</v>
      </c>
      <c r="L424" s="90">
        <f>(H424-E424)/1000</f>
        <v>-48.774999999999999</v>
      </c>
      <c r="M424" s="55" t="s">
        <v>843</v>
      </c>
      <c r="O424" s="19">
        <f>K424/F424</f>
        <v>-0.63877468183641173</v>
      </c>
      <c r="P424" s="19">
        <f>L424/(E424/1000)</f>
        <v>-0.75169140197574247</v>
      </c>
      <c r="R424" s="87" t="s">
        <v>1060</v>
      </c>
    </row>
    <row r="425" spans="2:18" x14ac:dyDescent="0.35">
      <c r="B425" s="84" t="s">
        <v>1394</v>
      </c>
      <c r="C425" s="67" t="s">
        <v>1406</v>
      </c>
      <c r="D425" s="68" t="s">
        <v>1342</v>
      </c>
      <c r="E425" s="60">
        <v>67185</v>
      </c>
      <c r="F425" s="60">
        <v>1137024</v>
      </c>
      <c r="G425" s="34">
        <f>IFERROR((F425/E425),0)</f>
        <v>16.923777628935031</v>
      </c>
      <c r="H425" s="1">
        <v>16607</v>
      </c>
      <c r="I425" s="1">
        <v>322589</v>
      </c>
      <c r="J425" s="65">
        <f>IFERROR((I425/H425),0)</f>
        <v>19.4248810742458</v>
      </c>
      <c r="K425" s="90">
        <f>I425-F425</f>
        <v>-814435</v>
      </c>
      <c r="L425" s="90">
        <f>(H425-E425)/1000</f>
        <v>-50.578000000000003</v>
      </c>
      <c r="M425" s="55" t="s">
        <v>843</v>
      </c>
      <c r="O425" s="19">
        <f>K425/F425</f>
        <v>-0.71628655155915799</v>
      </c>
      <c r="P425" s="19">
        <f>L425/(E425/1000)</f>
        <v>-0.75281684899903256</v>
      </c>
      <c r="R425" s="87" t="s">
        <v>1287</v>
      </c>
    </row>
    <row r="426" spans="2:18" x14ac:dyDescent="0.35">
      <c r="B426" s="84" t="s">
        <v>1219</v>
      </c>
      <c r="C426" s="67" t="s">
        <v>1095</v>
      </c>
      <c r="D426" s="68" t="s">
        <v>1153</v>
      </c>
      <c r="E426" s="60">
        <v>149958</v>
      </c>
      <c r="F426" s="60">
        <v>1701993</v>
      </c>
      <c r="G426" s="34">
        <f>IFERROR((F426/E426),0)</f>
        <v>11.349797943424159</v>
      </c>
      <c r="H426" s="1">
        <v>67848</v>
      </c>
      <c r="I426" s="1">
        <v>781372</v>
      </c>
      <c r="J426" s="65">
        <f>IFERROR((I426/H426),0)</f>
        <v>11.516507487324608</v>
      </c>
      <c r="K426" s="90">
        <f>I426-F426</f>
        <v>-920621</v>
      </c>
      <c r="L426" s="90">
        <f>(H426-E426)/1000</f>
        <v>-82.11</v>
      </c>
      <c r="M426" s="55" t="s">
        <v>843</v>
      </c>
      <c r="O426" s="19">
        <f>K426/F426</f>
        <v>-0.54090763005488274</v>
      </c>
      <c r="P426" s="19">
        <f>L426/(E426/1000)</f>
        <v>-0.54755331492817993</v>
      </c>
      <c r="R426" s="87" t="s">
        <v>1281</v>
      </c>
    </row>
    <row r="427" spans="2:18" x14ac:dyDescent="0.35">
      <c r="B427" s="84" t="s">
        <v>810</v>
      </c>
      <c r="C427" s="67" t="s">
        <v>645</v>
      </c>
      <c r="D427" s="68" t="s">
        <v>18</v>
      </c>
      <c r="E427" s="60">
        <v>255374</v>
      </c>
      <c r="F427" s="60">
        <v>3857664</v>
      </c>
      <c r="G427" s="34">
        <f>IFERROR((F427/E427),0)</f>
        <v>15.105938740827179</v>
      </c>
      <c r="H427" s="1">
        <v>168603</v>
      </c>
      <c r="I427" s="1">
        <v>2836295</v>
      </c>
      <c r="J427" s="65">
        <f>IFERROR((I427/H427),0)</f>
        <v>16.822328191076078</v>
      </c>
      <c r="K427" s="90">
        <f>I427-F427</f>
        <v>-1021369</v>
      </c>
      <c r="L427" s="90">
        <f>(H427-E427)/1000</f>
        <v>-86.771000000000001</v>
      </c>
      <c r="M427" s="55" t="s">
        <v>843</v>
      </c>
      <c r="O427" s="19">
        <f>K427/F427</f>
        <v>-0.26476359786648085</v>
      </c>
      <c r="P427" s="19">
        <f>L427/(E427/1000)</f>
        <v>-0.3397800872445903</v>
      </c>
      <c r="R427" s="87" t="s">
        <v>1286</v>
      </c>
    </row>
    <row r="428" spans="2:18" x14ac:dyDescent="0.35">
      <c r="B428" s="84" t="s">
        <v>1061</v>
      </c>
      <c r="C428" s="86" t="s">
        <v>621</v>
      </c>
      <c r="D428" s="68" t="s">
        <v>26</v>
      </c>
      <c r="E428" s="59">
        <v>119212</v>
      </c>
      <c r="F428" s="59">
        <v>1450376</v>
      </c>
      <c r="G428" s="34">
        <f>IFERROR((F428/E428),0)</f>
        <v>12.16635909136664</v>
      </c>
      <c r="H428" s="1">
        <v>27193</v>
      </c>
      <c r="I428" s="1">
        <v>421748</v>
      </c>
      <c r="J428" s="65">
        <f>IFERROR((I428/H428),0)</f>
        <v>15.509432574559629</v>
      </c>
      <c r="K428" s="90">
        <f>I428-F428</f>
        <v>-1028628</v>
      </c>
      <c r="L428" s="90">
        <f>(H428-E428)/1000</f>
        <v>-92.019000000000005</v>
      </c>
      <c r="M428" s="55" t="s">
        <v>843</v>
      </c>
      <c r="O428" s="19">
        <f>K428/F428</f>
        <v>-0.70921471397761682</v>
      </c>
      <c r="P428" s="19">
        <f>L428/(E428/1000)</f>
        <v>-0.77189376908364937</v>
      </c>
      <c r="R428" s="87" t="s">
        <v>1600</v>
      </c>
    </row>
    <row r="429" spans="2:18" x14ac:dyDescent="0.35">
      <c r="B429" s="84" t="s">
        <v>1225</v>
      </c>
      <c r="C429" s="86" t="s">
        <v>580</v>
      </c>
      <c r="D429" s="68" t="s">
        <v>19</v>
      </c>
      <c r="E429" s="60">
        <v>178373</v>
      </c>
      <c r="F429" s="60">
        <v>2161493</v>
      </c>
      <c r="G429" s="34">
        <f>IFERROR((F429/E429),0)</f>
        <v>12.117826128393871</v>
      </c>
      <c r="H429" s="1">
        <v>94596</v>
      </c>
      <c r="I429" s="1">
        <v>1119185</v>
      </c>
      <c r="J429" s="65">
        <f>IFERROR((I429/H429),0)</f>
        <v>11.831208507759314</v>
      </c>
      <c r="K429" s="90">
        <f>I429-F429</f>
        <v>-1042308</v>
      </c>
      <c r="L429" s="90">
        <f>(H429-E429)/1000</f>
        <v>-83.777000000000001</v>
      </c>
      <c r="M429" s="55" t="s">
        <v>843</v>
      </c>
      <c r="O429" s="19">
        <f>K429/F429</f>
        <v>-0.48221669003785811</v>
      </c>
      <c r="P429" s="19">
        <f>L429/(E429/1000)</f>
        <v>-0.46967310074955293</v>
      </c>
      <c r="R429" s="87" t="s">
        <v>1600</v>
      </c>
    </row>
    <row r="430" spans="2:18" x14ac:dyDescent="0.35">
      <c r="B430" s="84" t="s">
        <v>828</v>
      </c>
      <c r="C430" s="86" t="s">
        <v>1035</v>
      </c>
      <c r="D430" s="68" t="s">
        <v>78</v>
      </c>
      <c r="E430" s="59">
        <v>212966</v>
      </c>
      <c r="F430" s="59">
        <v>4235537</v>
      </c>
      <c r="G430" s="34">
        <f>IFERROR((F430/E430),0)</f>
        <v>19.888324896931906</v>
      </c>
      <c r="H430" s="1">
        <v>194635</v>
      </c>
      <c r="I430" s="1">
        <v>3174783</v>
      </c>
      <c r="J430" s="65">
        <f>IFERROR((I430/H430),0)</f>
        <v>16.311470187787396</v>
      </c>
      <c r="K430" s="90">
        <f>I430-F430</f>
        <v>-1060754</v>
      </c>
      <c r="L430" s="90">
        <f>(H430-E430)/1000</f>
        <v>-18.331</v>
      </c>
      <c r="M430" s="55" t="s">
        <v>843</v>
      </c>
      <c r="O430" s="19">
        <f>K430/F430</f>
        <v>-0.25044144343444524</v>
      </c>
      <c r="P430" s="19">
        <f>L430/(E430/1000)</f>
        <v>-8.6074772498896529E-2</v>
      </c>
      <c r="R430" s="87" t="s">
        <v>1060</v>
      </c>
    </row>
    <row r="431" spans="2:18" x14ac:dyDescent="0.35">
      <c r="B431" s="84" t="s">
        <v>1219</v>
      </c>
      <c r="C431" s="86" t="s">
        <v>1091</v>
      </c>
      <c r="D431" s="68" t="s">
        <v>1152</v>
      </c>
      <c r="E431" s="60">
        <v>266559</v>
      </c>
      <c r="F431" s="60">
        <v>3153296</v>
      </c>
      <c r="G431" s="34">
        <f>IFERROR((F431/E431),0)</f>
        <v>11.829636215622058</v>
      </c>
      <c r="H431" s="1">
        <v>177778</v>
      </c>
      <c r="I431" s="1">
        <v>2083204</v>
      </c>
      <c r="J431" s="65">
        <f>IFERROR((I431/H431),0)</f>
        <v>11.718007852490185</v>
      </c>
      <c r="K431" s="90">
        <f>I431-F431</f>
        <v>-1070092</v>
      </c>
      <c r="L431" s="90">
        <f>(H431-E431)/1000</f>
        <v>-88.781000000000006</v>
      </c>
      <c r="M431" s="55" t="s">
        <v>843</v>
      </c>
      <c r="O431" s="19">
        <f>K431/F431</f>
        <v>-0.33935666045940499</v>
      </c>
      <c r="P431" s="19">
        <f>L431/(E431/1000)</f>
        <v>-0.33306322427680174</v>
      </c>
      <c r="R431" s="87" t="s">
        <v>1282</v>
      </c>
    </row>
    <row r="432" spans="2:18" x14ac:dyDescent="0.35">
      <c r="B432" s="84" t="s">
        <v>1061</v>
      </c>
      <c r="C432" s="86" t="s">
        <v>550</v>
      </c>
      <c r="D432" s="68" t="s">
        <v>1220</v>
      </c>
      <c r="E432" s="60">
        <v>222311.99999999997</v>
      </c>
      <c r="F432" s="60">
        <v>3128400.1</v>
      </c>
      <c r="G432" s="34">
        <f>IFERROR((F432/E432),0)</f>
        <v>14.072115315412576</v>
      </c>
      <c r="H432" s="1">
        <v>142158</v>
      </c>
      <c r="I432" s="1">
        <v>1870248</v>
      </c>
      <c r="J432" s="65">
        <f>IFERROR((I432/H432),0)</f>
        <v>13.156122061368336</v>
      </c>
      <c r="K432" s="90">
        <f>I432-F432</f>
        <v>-1258152.1000000001</v>
      </c>
      <c r="L432" s="90">
        <f>(H432-E432)/1000</f>
        <v>-80.153999999999968</v>
      </c>
      <c r="M432" s="55" t="s">
        <v>843</v>
      </c>
      <c r="O432" s="19">
        <f>K432/F432</f>
        <v>-0.40217109697701392</v>
      </c>
      <c r="P432" s="19">
        <f>L432/(E432/1000)</f>
        <v>-0.36054733887509433</v>
      </c>
      <c r="R432" s="87" t="s">
        <v>1599</v>
      </c>
    </row>
    <row r="433" spans="2:18" x14ac:dyDescent="0.35">
      <c r="B433" s="84" t="s">
        <v>822</v>
      </c>
      <c r="C433" s="86" t="s">
        <v>651</v>
      </c>
      <c r="D433" s="68" t="s">
        <v>34</v>
      </c>
      <c r="E433" s="60">
        <v>152420</v>
      </c>
      <c r="F433" s="60">
        <v>1939625</v>
      </c>
      <c r="G433" s="34">
        <f>IFERROR((F433/E433),0)</f>
        <v>12.725528145912611</v>
      </c>
      <c r="H433" s="1">
        <v>44376</v>
      </c>
      <c r="I433" s="1">
        <v>608847</v>
      </c>
      <c r="J433" s="65">
        <f>IFERROR((I433/H433),0)</f>
        <v>13.720186587344511</v>
      </c>
      <c r="K433" s="90">
        <f>I433-F433</f>
        <v>-1330778</v>
      </c>
      <c r="L433" s="90">
        <f>(H433-E433)/1000</f>
        <v>-108.044</v>
      </c>
      <c r="M433" s="55" t="s">
        <v>843</v>
      </c>
      <c r="O433" s="19">
        <f>K433/F433</f>
        <v>-0.68610066378810342</v>
      </c>
      <c r="P433" s="19">
        <f>L433/(E433/1000)</f>
        <v>-0.70885710536674984</v>
      </c>
      <c r="R433" s="87" t="s">
        <v>1285</v>
      </c>
    </row>
    <row r="434" spans="2:18" x14ac:dyDescent="0.35">
      <c r="B434" s="84" t="s">
        <v>813</v>
      </c>
      <c r="C434" s="86" t="s">
        <v>394</v>
      </c>
      <c r="D434" s="68" t="s">
        <v>10</v>
      </c>
      <c r="E434" s="60">
        <v>166883</v>
      </c>
      <c r="F434" s="60">
        <v>5158305</v>
      </c>
      <c r="G434" s="34">
        <f>IFERROR((F434/E434),0)</f>
        <v>30.909709197461694</v>
      </c>
      <c r="H434" s="1">
        <v>119504</v>
      </c>
      <c r="I434" s="1">
        <v>3663682</v>
      </c>
      <c r="J434" s="65">
        <f>IFERROR((I434/H434),0)</f>
        <v>30.65740058910162</v>
      </c>
      <c r="K434" s="90">
        <f>I434-F434</f>
        <v>-1494623</v>
      </c>
      <c r="L434" s="90">
        <f>(H434-E434)/1000</f>
        <v>-47.378999999999998</v>
      </c>
      <c r="M434" s="55" t="s">
        <v>843</v>
      </c>
      <c r="O434" s="19">
        <f>K434/F434</f>
        <v>-0.2897507999236183</v>
      </c>
      <c r="P434" s="19">
        <f>L434/(E434/1000)</f>
        <v>-0.28390549067310628</v>
      </c>
      <c r="R434" s="87" t="s">
        <v>1601</v>
      </c>
    </row>
    <row r="435" spans="2:18" x14ac:dyDescent="0.35">
      <c r="B435" s="84" t="s">
        <v>819</v>
      </c>
      <c r="C435" s="86" t="s">
        <v>646</v>
      </c>
      <c r="D435" s="68" t="s">
        <v>23</v>
      </c>
      <c r="E435" s="59">
        <v>220326</v>
      </c>
      <c r="F435" s="59">
        <v>2688568</v>
      </c>
      <c r="G435" s="34">
        <f>IFERROR((F435/E435),0)</f>
        <v>12.20268148107804</v>
      </c>
      <c r="H435" s="1">
        <v>88588</v>
      </c>
      <c r="I435" s="1">
        <v>1160103</v>
      </c>
      <c r="J435" s="65">
        <f>IFERROR((I435/H435),0)</f>
        <v>13.095486973404975</v>
      </c>
      <c r="K435" s="90">
        <f>I435-F435</f>
        <v>-1528465</v>
      </c>
      <c r="L435" s="90">
        <f>(H435-E435)/1000</f>
        <v>-131.738</v>
      </c>
      <c r="M435" s="55" t="s">
        <v>843</v>
      </c>
      <c r="O435" s="19">
        <f>K435/F435</f>
        <v>-0.56850524145195513</v>
      </c>
      <c r="P435" s="19">
        <f>L435/(E435/1000)</f>
        <v>-0.59792307762134289</v>
      </c>
      <c r="R435" s="87" t="s">
        <v>1285</v>
      </c>
    </row>
    <row r="436" spans="2:18" x14ac:dyDescent="0.35">
      <c r="B436" s="84" t="s">
        <v>812</v>
      </c>
      <c r="C436" s="86" t="s">
        <v>413</v>
      </c>
      <c r="D436" s="68" t="s">
        <v>7</v>
      </c>
      <c r="E436" s="60">
        <v>198154</v>
      </c>
      <c r="F436" s="60">
        <v>2982224</v>
      </c>
      <c r="G436" s="34">
        <f>IFERROR((F436/E436),0)</f>
        <v>15.050031793453577</v>
      </c>
      <c r="H436" s="1">
        <v>0</v>
      </c>
      <c r="I436" s="1">
        <v>0</v>
      </c>
      <c r="J436" s="65">
        <f>IFERROR((I436/H436),0)</f>
        <v>0</v>
      </c>
      <c r="K436" s="90">
        <f>I436-F436</f>
        <v>-2982224</v>
      </c>
      <c r="L436" s="90">
        <f>(H436-E436)/1000</f>
        <v>-198.154</v>
      </c>
      <c r="M436" s="55" t="s">
        <v>845</v>
      </c>
      <c r="O436" s="19">
        <f>K436/F436</f>
        <v>-1</v>
      </c>
      <c r="P436" s="19">
        <f>L436/(E436/1000)</f>
        <v>-1</v>
      </c>
      <c r="R436" s="87" t="s">
        <v>1060</v>
      </c>
    </row>
    <row r="437" spans="2:18" x14ac:dyDescent="0.35">
      <c r="B437" s="84" t="s">
        <v>1219</v>
      </c>
      <c r="C437" s="86" t="s">
        <v>1433</v>
      </c>
      <c r="D437" s="68" t="s">
        <v>1151</v>
      </c>
      <c r="E437" s="60">
        <v>613263</v>
      </c>
      <c r="F437" s="60">
        <v>9030966</v>
      </c>
      <c r="G437" s="34">
        <f>IFERROR((F437/E437),0)</f>
        <v>14.726089785296031</v>
      </c>
      <c r="H437" s="1">
        <v>500465</v>
      </c>
      <c r="I437" s="1">
        <v>5320500</v>
      </c>
      <c r="J437" s="65">
        <f>IFERROR((I437/H437),0)</f>
        <v>10.631113064849689</v>
      </c>
      <c r="K437" s="90">
        <f>I437-F437</f>
        <v>-3710466</v>
      </c>
      <c r="L437" s="90">
        <f>(H437-E437)/1000</f>
        <v>-112.798</v>
      </c>
      <c r="M437" s="55" t="s">
        <v>843</v>
      </c>
      <c r="O437" s="19">
        <f>K437/F437</f>
        <v>-0.41086036643256102</v>
      </c>
      <c r="P437" s="19">
        <f>L437/(E437/1000)</f>
        <v>-0.18393087468182492</v>
      </c>
      <c r="R437" s="87" t="s">
        <v>1289</v>
      </c>
    </row>
  </sheetData>
  <autoFilter ref="B2:R2" xr:uid="{00000000-0001-0000-0000-000000000000}"/>
  <conditionalFormatting sqref="C2:D436">
    <cfRule type="duplicateValues" dxfId="3" priority="76"/>
  </conditionalFormatting>
  <conditionalFormatting sqref="D3:D437">
    <cfRule type="duplicateValues" dxfId="2" priority="78"/>
  </conditionalFormatting>
  <conditionalFormatting sqref="J3:J437">
    <cfRule type="cellIs" dxfId="1" priority="2" operator="greaterThan">
      <formula>$F$3&gt;$I$3</formula>
    </cfRule>
  </conditionalFormatting>
  <conditionalFormatting sqref="K4:K437">
    <cfRule type="cellIs" dxfId="0" priority="1" operator="greaterThan">
      <formula>$F$3&gt;$I$3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DBE6-7720-4A68-89F0-2E6FA7D58E99}">
  <dimension ref="A1"/>
  <sheetViews>
    <sheetView workbookViewId="0">
      <selection activeCell="B3" sqref="B3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5EE1-3244-4F63-97E1-C2497C343D74}">
  <dimension ref="B1:N422"/>
  <sheetViews>
    <sheetView workbookViewId="0">
      <selection activeCell="B2" sqref="B2"/>
    </sheetView>
  </sheetViews>
  <sheetFormatPr defaultRowHeight="14.5" x14ac:dyDescent="0.35"/>
  <cols>
    <col min="2" max="2" width="40.54296875" bestFit="1" customWidth="1"/>
    <col min="3" max="3" width="53.1796875" bestFit="1" customWidth="1"/>
    <col min="4" max="4" width="19" bestFit="1" customWidth="1"/>
    <col min="5" max="5" width="14.36328125" bestFit="1" customWidth="1"/>
    <col min="6" max="6" width="18.90625" bestFit="1" customWidth="1"/>
    <col min="7" max="7" width="6.453125" bestFit="1" customWidth="1"/>
    <col min="11" max="11" width="19" bestFit="1" customWidth="1"/>
    <col min="12" max="12" width="40.54296875" bestFit="1" customWidth="1"/>
    <col min="13" max="13" width="57.08984375" bestFit="1" customWidth="1"/>
    <col min="14" max="14" width="18.90625" bestFit="1" customWidth="1"/>
  </cols>
  <sheetData>
    <row r="1" spans="2:14" x14ac:dyDescent="0.35">
      <c r="J1" t="s">
        <v>1482</v>
      </c>
      <c r="K1" s="54" t="s">
        <v>1479</v>
      </c>
      <c r="L1" s="54" t="s">
        <v>1480</v>
      </c>
      <c r="M1" s="54" t="s">
        <v>0</v>
      </c>
      <c r="N1" s="54" t="s">
        <v>1481</v>
      </c>
    </row>
    <row r="2" spans="2:14" x14ac:dyDescent="0.35">
      <c r="B2" s="3" t="s">
        <v>1388</v>
      </c>
      <c r="C2" s="3" t="s">
        <v>1389</v>
      </c>
      <c r="D2" s="3" t="s">
        <v>1475</v>
      </c>
      <c r="E2" s="3" t="s">
        <v>1390</v>
      </c>
      <c r="F2" s="3" t="s">
        <v>809</v>
      </c>
      <c r="G2" s="3" t="s">
        <v>1476</v>
      </c>
      <c r="K2" s="54" t="s">
        <v>1219</v>
      </c>
      <c r="L2" s="54" t="s">
        <v>1433</v>
      </c>
      <c r="M2" s="54" t="s">
        <v>1151</v>
      </c>
      <c r="N2" s="54" t="s">
        <v>1289</v>
      </c>
    </row>
    <row r="3" spans="2:14" x14ac:dyDescent="0.35">
      <c r="B3" t="s">
        <v>774</v>
      </c>
      <c r="C3" t="s">
        <v>376</v>
      </c>
      <c r="D3" t="s">
        <v>837</v>
      </c>
      <c r="E3" t="s">
        <v>1289</v>
      </c>
      <c r="F3" t="s">
        <v>1289</v>
      </c>
      <c r="G3" t="s">
        <v>1391</v>
      </c>
      <c r="K3" s="54" t="s">
        <v>1394</v>
      </c>
      <c r="L3" s="54" t="s">
        <v>1473</v>
      </c>
      <c r="M3" s="54" t="s">
        <v>1386</v>
      </c>
      <c r="N3" s="54" t="s">
        <v>1301</v>
      </c>
    </row>
    <row r="4" spans="2:14" x14ac:dyDescent="0.35">
      <c r="B4" t="s">
        <v>745</v>
      </c>
      <c r="C4" t="s">
        <v>346</v>
      </c>
      <c r="D4" t="s">
        <v>837</v>
      </c>
      <c r="E4" t="s">
        <v>1283</v>
      </c>
      <c r="F4" t="s">
        <v>1283</v>
      </c>
      <c r="G4" t="s">
        <v>1391</v>
      </c>
      <c r="K4" s="54" t="s">
        <v>1225</v>
      </c>
      <c r="L4" s="54" t="s">
        <v>580</v>
      </c>
      <c r="M4" s="54" t="s">
        <v>19</v>
      </c>
      <c r="N4" s="54" t="s">
        <v>1287</v>
      </c>
    </row>
    <row r="5" spans="2:14" x14ac:dyDescent="0.35">
      <c r="B5" t="s">
        <v>699</v>
      </c>
      <c r="C5" t="s">
        <v>147</v>
      </c>
      <c r="D5" t="s">
        <v>819</v>
      </c>
      <c r="E5" t="s">
        <v>1300</v>
      </c>
      <c r="F5" t="s">
        <v>1300</v>
      </c>
      <c r="G5" t="s">
        <v>1391</v>
      </c>
      <c r="K5" s="54" t="s">
        <v>1061</v>
      </c>
      <c r="L5" s="54" t="s">
        <v>388</v>
      </c>
      <c r="M5" s="54" t="s">
        <v>3</v>
      </c>
      <c r="N5" s="54" t="s">
        <v>1407</v>
      </c>
    </row>
    <row r="6" spans="2:14" x14ac:dyDescent="0.35">
      <c r="B6" t="s">
        <v>1392</v>
      </c>
      <c r="C6" t="s">
        <v>1393</v>
      </c>
      <c r="D6" t="s">
        <v>1394</v>
      </c>
      <c r="E6" t="s">
        <v>1282</v>
      </c>
      <c r="F6" t="s">
        <v>1282</v>
      </c>
      <c r="G6" t="s">
        <v>1391</v>
      </c>
      <c r="K6" s="54" t="s">
        <v>813</v>
      </c>
      <c r="L6" s="54" t="s">
        <v>394</v>
      </c>
      <c r="M6" s="54" t="s">
        <v>10</v>
      </c>
      <c r="N6" s="54" t="s">
        <v>1396</v>
      </c>
    </row>
    <row r="7" spans="2:14" x14ac:dyDescent="0.35">
      <c r="B7" t="s">
        <v>520</v>
      </c>
      <c r="C7" t="s">
        <v>90</v>
      </c>
      <c r="D7" t="s">
        <v>817</v>
      </c>
      <c r="E7" t="s">
        <v>1292</v>
      </c>
      <c r="F7" t="s">
        <v>1289</v>
      </c>
      <c r="G7" t="s">
        <v>1391</v>
      </c>
      <c r="K7" s="54" t="s">
        <v>813</v>
      </c>
      <c r="L7" s="54" t="s">
        <v>470</v>
      </c>
      <c r="M7" s="54" t="s">
        <v>48</v>
      </c>
      <c r="N7" s="54" t="s">
        <v>1297</v>
      </c>
    </row>
    <row r="8" spans="2:14" x14ac:dyDescent="0.35">
      <c r="B8" t="s">
        <v>863</v>
      </c>
      <c r="C8" t="s">
        <v>864</v>
      </c>
      <c r="D8" t="s">
        <v>976</v>
      </c>
      <c r="E8" t="s">
        <v>1297</v>
      </c>
      <c r="F8" t="s">
        <v>1297</v>
      </c>
      <c r="G8" t="s">
        <v>1395</v>
      </c>
      <c r="K8" s="54" t="s">
        <v>1394</v>
      </c>
      <c r="L8" s="54" t="s">
        <v>1438</v>
      </c>
      <c r="M8" s="54" t="s">
        <v>1359</v>
      </c>
      <c r="N8" s="54" t="s">
        <v>1303</v>
      </c>
    </row>
    <row r="9" spans="2:14" x14ac:dyDescent="0.35">
      <c r="B9" t="s">
        <v>689</v>
      </c>
      <c r="C9" t="s">
        <v>129</v>
      </c>
      <c r="D9" t="s">
        <v>810</v>
      </c>
      <c r="E9" t="s">
        <v>1294</v>
      </c>
      <c r="F9" t="s">
        <v>1294</v>
      </c>
      <c r="G9" t="s">
        <v>1391</v>
      </c>
      <c r="K9" s="54" t="s">
        <v>1061</v>
      </c>
      <c r="L9" s="54" t="s">
        <v>426</v>
      </c>
      <c r="M9" s="54" t="s">
        <v>160</v>
      </c>
      <c r="N9" s="54" t="s">
        <v>1295</v>
      </c>
    </row>
    <row r="10" spans="2:14" x14ac:dyDescent="0.35">
      <c r="B10" t="s">
        <v>394</v>
      </c>
      <c r="C10" t="s">
        <v>10</v>
      </c>
      <c r="D10" t="s">
        <v>813</v>
      </c>
      <c r="E10" t="s">
        <v>1284</v>
      </c>
      <c r="F10" t="s">
        <v>1396</v>
      </c>
      <c r="G10" t="s">
        <v>1391</v>
      </c>
      <c r="K10" s="54" t="s">
        <v>1394</v>
      </c>
      <c r="L10" s="54" t="s">
        <v>1446</v>
      </c>
      <c r="M10" s="54" t="s">
        <v>1364</v>
      </c>
      <c r="N10" s="54" t="s">
        <v>1315</v>
      </c>
    </row>
    <row r="11" spans="2:14" x14ac:dyDescent="0.35">
      <c r="B11" t="s">
        <v>1397</v>
      </c>
      <c r="C11" t="s">
        <v>1337</v>
      </c>
      <c r="D11" t="s">
        <v>1394</v>
      </c>
      <c r="E11" t="s">
        <v>1299</v>
      </c>
      <c r="F11" t="s">
        <v>1299</v>
      </c>
      <c r="G11" t="s">
        <v>1398</v>
      </c>
      <c r="K11" s="54" t="s">
        <v>822</v>
      </c>
      <c r="L11" s="54" t="s">
        <v>666</v>
      </c>
      <c r="M11" s="54" t="s">
        <v>79</v>
      </c>
      <c r="N11" s="54" t="s">
        <v>1288</v>
      </c>
    </row>
    <row r="12" spans="2:14" x14ac:dyDescent="0.35">
      <c r="B12" t="s">
        <v>451</v>
      </c>
      <c r="C12" t="s">
        <v>85</v>
      </c>
      <c r="D12" t="s">
        <v>817</v>
      </c>
      <c r="E12" t="s">
        <v>1291</v>
      </c>
      <c r="F12" t="s">
        <v>1287</v>
      </c>
      <c r="G12" t="s">
        <v>1398</v>
      </c>
      <c r="K12" s="54" t="s">
        <v>1061</v>
      </c>
      <c r="L12" s="54" t="s">
        <v>393</v>
      </c>
      <c r="M12" s="54" t="s">
        <v>43</v>
      </c>
      <c r="N12" s="54" t="s">
        <v>1407</v>
      </c>
    </row>
    <row r="13" spans="2:14" x14ac:dyDescent="0.35">
      <c r="B13" t="s">
        <v>645</v>
      </c>
      <c r="C13" t="s">
        <v>18</v>
      </c>
      <c r="D13" t="s">
        <v>810</v>
      </c>
      <c r="E13" t="s">
        <v>1286</v>
      </c>
      <c r="F13" t="s">
        <v>1289</v>
      </c>
      <c r="G13" t="s">
        <v>1391</v>
      </c>
      <c r="K13" s="54" t="s">
        <v>1394</v>
      </c>
      <c r="L13" s="54" t="s">
        <v>1406</v>
      </c>
      <c r="M13" s="54" t="s">
        <v>1342</v>
      </c>
      <c r="N13" s="54" t="s">
        <v>1287</v>
      </c>
    </row>
    <row r="14" spans="2:14" x14ac:dyDescent="0.35">
      <c r="B14" t="s">
        <v>746</v>
      </c>
      <c r="C14" t="s">
        <v>347</v>
      </c>
      <c r="D14" t="s">
        <v>837</v>
      </c>
      <c r="E14" t="s">
        <v>1282</v>
      </c>
      <c r="F14" t="s">
        <v>1282</v>
      </c>
      <c r="G14" t="s">
        <v>1391</v>
      </c>
      <c r="K14" s="54" t="s">
        <v>1219</v>
      </c>
      <c r="L14" s="54" t="s">
        <v>1137</v>
      </c>
      <c r="M14" s="54" t="s">
        <v>1163</v>
      </c>
      <c r="N14" s="54" t="s">
        <v>1296</v>
      </c>
    </row>
    <row r="15" spans="2:14" x14ac:dyDescent="0.35">
      <c r="B15" t="s">
        <v>1399</v>
      </c>
      <c r="C15" t="s">
        <v>1338</v>
      </c>
      <c r="D15" t="s">
        <v>1394</v>
      </c>
      <c r="E15" t="s">
        <v>1282</v>
      </c>
      <c r="F15" t="s">
        <v>1282</v>
      </c>
      <c r="G15" t="s">
        <v>1391</v>
      </c>
      <c r="K15" s="54" t="s">
        <v>1219</v>
      </c>
      <c r="L15" s="54" t="s">
        <v>1085</v>
      </c>
      <c r="M15" s="54" t="s">
        <v>1160</v>
      </c>
      <c r="N15" s="54" t="s">
        <v>1062</v>
      </c>
    </row>
    <row r="16" spans="2:14" x14ac:dyDescent="0.35">
      <c r="B16" t="s">
        <v>1003</v>
      </c>
      <c r="C16" t="s">
        <v>16</v>
      </c>
      <c r="D16" t="s">
        <v>1061</v>
      </c>
      <c r="E16" t="s">
        <v>1292</v>
      </c>
      <c r="F16" t="s">
        <v>1396</v>
      </c>
      <c r="G16" t="s">
        <v>1391</v>
      </c>
      <c r="K16" s="54" t="s">
        <v>822</v>
      </c>
      <c r="L16" s="54" t="s">
        <v>651</v>
      </c>
      <c r="M16" s="54" t="s">
        <v>34</v>
      </c>
      <c r="N16" s="54" t="s">
        <v>1294</v>
      </c>
    </row>
    <row r="17" spans="2:14" x14ac:dyDescent="0.35">
      <c r="B17" t="s">
        <v>1023</v>
      </c>
      <c r="C17" t="s">
        <v>16</v>
      </c>
      <c r="D17" t="s">
        <v>1221</v>
      </c>
      <c r="E17" t="s">
        <v>1292</v>
      </c>
      <c r="F17" t="s">
        <v>1396</v>
      </c>
      <c r="G17" t="s">
        <v>1391</v>
      </c>
      <c r="K17" s="54" t="s">
        <v>1061</v>
      </c>
      <c r="L17" s="54" t="s">
        <v>621</v>
      </c>
      <c r="M17" s="54" t="s">
        <v>26</v>
      </c>
      <c r="N17" s="54" t="s">
        <v>1287</v>
      </c>
    </row>
    <row r="18" spans="2:14" x14ac:dyDescent="0.35">
      <c r="B18" t="s">
        <v>455</v>
      </c>
      <c r="C18" t="s">
        <v>58</v>
      </c>
      <c r="D18" t="s">
        <v>827</v>
      </c>
      <c r="E18" t="s">
        <v>1305</v>
      </c>
      <c r="F18" t="s">
        <v>1062</v>
      </c>
      <c r="G18" t="s">
        <v>1400</v>
      </c>
      <c r="K18" s="54" t="s">
        <v>810</v>
      </c>
      <c r="L18" s="54" t="s">
        <v>645</v>
      </c>
      <c r="M18" s="54" t="s">
        <v>18</v>
      </c>
      <c r="N18" s="54" t="s">
        <v>1289</v>
      </c>
    </row>
    <row r="19" spans="2:14" x14ac:dyDescent="0.35">
      <c r="B19" t="s">
        <v>865</v>
      </c>
      <c r="C19" t="s">
        <v>866</v>
      </c>
      <c r="D19" t="s">
        <v>974</v>
      </c>
      <c r="E19" t="s">
        <v>1296</v>
      </c>
      <c r="F19" t="s">
        <v>1296</v>
      </c>
      <c r="G19" t="s">
        <v>1391</v>
      </c>
      <c r="K19" s="54" t="s">
        <v>837</v>
      </c>
      <c r="L19" s="54" t="s">
        <v>1224</v>
      </c>
      <c r="M19" s="54" t="s">
        <v>352</v>
      </c>
      <c r="N19" s="54" t="s">
        <v>1297</v>
      </c>
    </row>
    <row r="20" spans="2:14" x14ac:dyDescent="0.35">
      <c r="B20" t="s">
        <v>667</v>
      </c>
      <c r="C20" t="s">
        <v>80</v>
      </c>
      <c r="D20" t="s">
        <v>822</v>
      </c>
      <c r="E20" t="s">
        <v>1282</v>
      </c>
      <c r="F20" t="s">
        <v>1282</v>
      </c>
      <c r="G20" t="s">
        <v>1391</v>
      </c>
      <c r="K20" s="54" t="s">
        <v>1219</v>
      </c>
      <c r="L20" s="54" t="s">
        <v>1091</v>
      </c>
      <c r="M20" s="54" t="s">
        <v>1152</v>
      </c>
      <c r="N20" s="54" t="s">
        <v>1282</v>
      </c>
    </row>
    <row r="21" spans="2:14" x14ac:dyDescent="0.35">
      <c r="B21" t="s">
        <v>614</v>
      </c>
      <c r="C21" t="s">
        <v>29</v>
      </c>
      <c r="D21" t="s">
        <v>1061</v>
      </c>
      <c r="E21" t="s">
        <v>1060</v>
      </c>
      <c r="F21" t="s">
        <v>1297</v>
      </c>
      <c r="G21" t="s">
        <v>1395</v>
      </c>
      <c r="K21" s="54" t="s">
        <v>1394</v>
      </c>
      <c r="L21" s="54" t="s">
        <v>1441</v>
      </c>
      <c r="M21" s="54" t="s">
        <v>1361</v>
      </c>
      <c r="N21" s="54" t="s">
        <v>1283</v>
      </c>
    </row>
    <row r="22" spans="2:14" x14ac:dyDescent="0.35">
      <c r="B22" t="s">
        <v>712</v>
      </c>
      <c r="C22" t="s">
        <v>194</v>
      </c>
      <c r="D22" t="s">
        <v>822</v>
      </c>
      <c r="E22" t="s">
        <v>1304</v>
      </c>
      <c r="F22" t="s">
        <v>1304</v>
      </c>
      <c r="G22" t="s">
        <v>1395</v>
      </c>
      <c r="K22" s="54" t="s">
        <v>819</v>
      </c>
      <c r="L22" s="54" t="s">
        <v>1052</v>
      </c>
      <c r="M22" s="54" t="s">
        <v>27</v>
      </c>
      <c r="N22" s="54" t="s">
        <v>1287</v>
      </c>
    </row>
    <row r="23" spans="2:14" x14ac:dyDescent="0.35">
      <c r="B23" t="s">
        <v>1401</v>
      </c>
      <c r="C23" t="s">
        <v>1339</v>
      </c>
      <c r="D23" t="s">
        <v>1394</v>
      </c>
      <c r="E23" t="s">
        <v>1297</v>
      </c>
      <c r="F23" t="s">
        <v>1297</v>
      </c>
      <c r="G23" t="s">
        <v>1395</v>
      </c>
      <c r="K23" s="54" t="s">
        <v>815</v>
      </c>
      <c r="L23" s="54" t="s">
        <v>655</v>
      </c>
      <c r="M23" s="54" t="s">
        <v>42</v>
      </c>
      <c r="N23" s="54" t="s">
        <v>1300</v>
      </c>
    </row>
    <row r="24" spans="2:14" x14ac:dyDescent="0.35">
      <c r="B24" t="s">
        <v>695</v>
      </c>
      <c r="C24" t="s">
        <v>138</v>
      </c>
      <c r="D24" t="s">
        <v>822</v>
      </c>
      <c r="E24" t="s">
        <v>1288</v>
      </c>
      <c r="F24" t="s">
        <v>1288</v>
      </c>
      <c r="G24" t="s">
        <v>1398</v>
      </c>
      <c r="K24" s="54" t="s">
        <v>1061</v>
      </c>
      <c r="L24" s="54" t="s">
        <v>418</v>
      </c>
      <c r="M24" s="54" t="s">
        <v>33</v>
      </c>
      <c r="N24" s="54" t="s">
        <v>1407</v>
      </c>
    </row>
    <row r="25" spans="2:14" x14ac:dyDescent="0.35">
      <c r="B25" t="s">
        <v>1146</v>
      </c>
      <c r="C25" t="s">
        <v>1201</v>
      </c>
      <c r="D25" t="s">
        <v>1219</v>
      </c>
      <c r="E25" t="s">
        <v>1316</v>
      </c>
      <c r="F25" t="s">
        <v>1402</v>
      </c>
      <c r="G25" t="s">
        <v>1395</v>
      </c>
      <c r="K25" s="54" t="s">
        <v>1219</v>
      </c>
      <c r="L25" s="54" t="s">
        <v>1141</v>
      </c>
      <c r="M25" s="54" t="s">
        <v>1161</v>
      </c>
      <c r="N25" s="54" t="s">
        <v>1315</v>
      </c>
    </row>
    <row r="26" spans="2:14" x14ac:dyDescent="0.35">
      <c r="B26" t="s">
        <v>716</v>
      </c>
      <c r="C26" t="s">
        <v>201</v>
      </c>
      <c r="D26" t="s">
        <v>815</v>
      </c>
      <c r="E26" t="s">
        <v>1293</v>
      </c>
      <c r="F26" t="s">
        <v>1293</v>
      </c>
      <c r="G26" t="s">
        <v>1398</v>
      </c>
      <c r="K26" s="54" t="s">
        <v>1219</v>
      </c>
      <c r="L26" s="54" t="s">
        <v>1114</v>
      </c>
      <c r="M26" s="54" t="s">
        <v>1154</v>
      </c>
      <c r="N26" s="54" t="s">
        <v>1297</v>
      </c>
    </row>
    <row r="27" spans="2:14" x14ac:dyDescent="0.35">
      <c r="B27" t="s">
        <v>747</v>
      </c>
      <c r="C27" t="s">
        <v>348</v>
      </c>
      <c r="D27" t="s">
        <v>837</v>
      </c>
      <c r="E27" t="s">
        <v>1311</v>
      </c>
      <c r="F27" t="s">
        <v>1311</v>
      </c>
      <c r="G27" t="s">
        <v>1398</v>
      </c>
      <c r="K27" s="54" t="s">
        <v>1394</v>
      </c>
      <c r="L27" s="54" t="s">
        <v>1399</v>
      </c>
      <c r="M27" s="54" t="s">
        <v>1338</v>
      </c>
      <c r="N27" s="54" t="s">
        <v>1282</v>
      </c>
    </row>
    <row r="28" spans="2:14" x14ac:dyDescent="0.35">
      <c r="B28" t="s">
        <v>590</v>
      </c>
      <c r="C28" t="s">
        <v>128</v>
      </c>
      <c r="D28" t="s">
        <v>829</v>
      </c>
      <c r="E28" t="s">
        <v>1281</v>
      </c>
      <c r="F28" t="s">
        <v>1297</v>
      </c>
      <c r="G28" t="s">
        <v>1395</v>
      </c>
      <c r="K28" s="54" t="s">
        <v>828</v>
      </c>
      <c r="L28" s="54" t="s">
        <v>1035</v>
      </c>
      <c r="M28" s="54" t="s">
        <v>78</v>
      </c>
      <c r="N28" s="54" t="s">
        <v>1312</v>
      </c>
    </row>
    <row r="29" spans="2:14" x14ac:dyDescent="0.35">
      <c r="B29" t="s">
        <v>420</v>
      </c>
      <c r="C29" t="s">
        <v>11</v>
      </c>
      <c r="D29" t="s">
        <v>1061</v>
      </c>
      <c r="E29" t="s">
        <v>1286</v>
      </c>
      <c r="F29" t="s">
        <v>1294</v>
      </c>
      <c r="G29" t="s">
        <v>1391</v>
      </c>
      <c r="K29" s="54" t="s">
        <v>819</v>
      </c>
      <c r="L29" s="54" t="s">
        <v>646</v>
      </c>
      <c r="M29" s="54" t="s">
        <v>23</v>
      </c>
      <c r="N29" s="54" t="s">
        <v>1300</v>
      </c>
    </row>
    <row r="30" spans="2:14" x14ac:dyDescent="0.35">
      <c r="B30" t="s">
        <v>410</v>
      </c>
      <c r="C30" t="s">
        <v>197</v>
      </c>
      <c r="D30" t="s">
        <v>1226</v>
      </c>
      <c r="E30" t="s">
        <v>1294</v>
      </c>
      <c r="F30" t="s">
        <v>1294</v>
      </c>
      <c r="G30" t="s">
        <v>1391</v>
      </c>
      <c r="K30" s="54" t="s">
        <v>822</v>
      </c>
      <c r="L30" s="54" t="s">
        <v>690</v>
      </c>
      <c r="M30" s="54" t="s">
        <v>131</v>
      </c>
      <c r="N30" s="54" t="s">
        <v>1282</v>
      </c>
    </row>
    <row r="31" spans="2:14" x14ac:dyDescent="0.35">
      <c r="B31" t="s">
        <v>1403</v>
      </c>
      <c r="C31" t="s">
        <v>1340</v>
      </c>
      <c r="D31" t="s">
        <v>1394</v>
      </c>
      <c r="E31" t="s">
        <v>1404</v>
      </c>
      <c r="F31" t="s">
        <v>1404</v>
      </c>
      <c r="G31" t="s">
        <v>1395</v>
      </c>
      <c r="K31" s="54" t="s">
        <v>1219</v>
      </c>
      <c r="L31" s="54" t="s">
        <v>1117</v>
      </c>
      <c r="M31" s="54" t="s">
        <v>1165</v>
      </c>
      <c r="N31" s="54" t="s">
        <v>1316</v>
      </c>
    </row>
    <row r="32" spans="2:14" x14ac:dyDescent="0.35">
      <c r="B32" t="s">
        <v>1122</v>
      </c>
      <c r="C32" t="s">
        <v>1155</v>
      </c>
      <c r="D32" t="s">
        <v>1219</v>
      </c>
      <c r="E32" t="s">
        <v>1300</v>
      </c>
      <c r="F32" t="s">
        <v>1300</v>
      </c>
      <c r="G32" t="s">
        <v>1391</v>
      </c>
      <c r="K32" s="54" t="s">
        <v>1394</v>
      </c>
      <c r="L32" s="54" t="s">
        <v>1423</v>
      </c>
      <c r="M32" s="54" t="s">
        <v>1351</v>
      </c>
      <c r="N32" s="54" t="s">
        <v>1282</v>
      </c>
    </row>
    <row r="33" spans="2:14" x14ac:dyDescent="0.35">
      <c r="B33" t="s">
        <v>982</v>
      </c>
      <c r="C33" t="s">
        <v>1236</v>
      </c>
      <c r="D33" t="s">
        <v>1061</v>
      </c>
      <c r="E33" t="s">
        <v>1295</v>
      </c>
      <c r="F33" t="s">
        <v>1295</v>
      </c>
      <c r="G33" t="s">
        <v>1395</v>
      </c>
      <c r="K33" s="54" t="s">
        <v>1394</v>
      </c>
      <c r="L33" s="54" t="s">
        <v>1449</v>
      </c>
      <c r="M33" s="54" t="s">
        <v>1367</v>
      </c>
      <c r="N33" s="54" t="s">
        <v>1287</v>
      </c>
    </row>
    <row r="34" spans="2:14" x14ac:dyDescent="0.35">
      <c r="B34" t="s">
        <v>980</v>
      </c>
      <c r="C34" t="s">
        <v>1220</v>
      </c>
      <c r="D34" t="s">
        <v>1061</v>
      </c>
      <c r="E34" t="s">
        <v>1295</v>
      </c>
      <c r="F34" t="s">
        <v>1295</v>
      </c>
      <c r="G34" t="s">
        <v>1395</v>
      </c>
      <c r="K34" s="54" t="s">
        <v>1061</v>
      </c>
      <c r="L34" s="54" t="s">
        <v>404</v>
      </c>
      <c r="M34" s="54" t="s">
        <v>44</v>
      </c>
      <c r="N34" s="54" t="s">
        <v>1409</v>
      </c>
    </row>
    <row r="35" spans="2:14" x14ac:dyDescent="0.35">
      <c r="B35" t="s">
        <v>983</v>
      </c>
      <c r="C35" t="s">
        <v>1229</v>
      </c>
      <c r="D35" t="s">
        <v>1061</v>
      </c>
      <c r="E35" t="s">
        <v>1295</v>
      </c>
      <c r="F35" t="s">
        <v>1295</v>
      </c>
      <c r="G35" t="s">
        <v>1395</v>
      </c>
      <c r="K35" s="54" t="s">
        <v>976</v>
      </c>
      <c r="L35" s="54" t="s">
        <v>944</v>
      </c>
      <c r="M35" s="54" t="s">
        <v>945</v>
      </c>
      <c r="N35" s="54" t="s">
        <v>1297</v>
      </c>
    </row>
    <row r="36" spans="2:14" x14ac:dyDescent="0.35">
      <c r="B36" t="s">
        <v>688</v>
      </c>
      <c r="C36" t="s">
        <v>127</v>
      </c>
      <c r="D36" t="s">
        <v>822</v>
      </c>
      <c r="E36" t="s">
        <v>1283</v>
      </c>
      <c r="F36" t="s">
        <v>1283</v>
      </c>
      <c r="G36" t="s">
        <v>1391</v>
      </c>
      <c r="K36" s="54" t="s">
        <v>1219</v>
      </c>
      <c r="L36" s="54" t="s">
        <v>1095</v>
      </c>
      <c r="M36" s="54" t="s">
        <v>1153</v>
      </c>
      <c r="N36" s="54" t="s">
        <v>1287</v>
      </c>
    </row>
    <row r="37" spans="2:14" x14ac:dyDescent="0.35">
      <c r="B37" t="s">
        <v>519</v>
      </c>
      <c r="C37" t="s">
        <v>1254</v>
      </c>
      <c r="D37" t="s">
        <v>834</v>
      </c>
      <c r="E37" t="s">
        <v>1291</v>
      </c>
      <c r="F37" t="s">
        <v>1287</v>
      </c>
      <c r="G37" t="s">
        <v>1398</v>
      </c>
      <c r="K37" s="54" t="s">
        <v>1219</v>
      </c>
      <c r="L37" s="54" t="s">
        <v>1098</v>
      </c>
      <c r="M37" s="54" t="s">
        <v>1169</v>
      </c>
      <c r="N37" s="54" t="s">
        <v>1288</v>
      </c>
    </row>
    <row r="38" spans="2:14" x14ac:dyDescent="0.35">
      <c r="B38" t="s">
        <v>1079</v>
      </c>
      <c r="C38" t="s">
        <v>1157</v>
      </c>
      <c r="D38" t="s">
        <v>1061</v>
      </c>
      <c r="E38" t="s">
        <v>1283</v>
      </c>
      <c r="F38" t="s">
        <v>1283</v>
      </c>
      <c r="G38" t="s">
        <v>1391</v>
      </c>
      <c r="K38" s="54" t="s">
        <v>1061</v>
      </c>
      <c r="L38" s="54" t="s">
        <v>445</v>
      </c>
      <c r="M38" s="54" t="s">
        <v>75</v>
      </c>
      <c r="N38" s="54" t="s">
        <v>1062</v>
      </c>
    </row>
    <row r="39" spans="2:14" x14ac:dyDescent="0.35">
      <c r="B39" t="s">
        <v>871</v>
      </c>
      <c r="C39" t="s">
        <v>872</v>
      </c>
      <c r="D39" t="s">
        <v>1061</v>
      </c>
      <c r="E39" t="s">
        <v>1283</v>
      </c>
      <c r="F39" t="s">
        <v>1283</v>
      </c>
      <c r="G39" t="s">
        <v>1391</v>
      </c>
      <c r="K39" s="54" t="s">
        <v>1219</v>
      </c>
      <c r="L39" s="54" t="s">
        <v>1086</v>
      </c>
      <c r="M39" s="54" t="s">
        <v>1158</v>
      </c>
      <c r="N39" s="54" t="s">
        <v>1300</v>
      </c>
    </row>
    <row r="40" spans="2:14" x14ac:dyDescent="0.35">
      <c r="B40" t="s">
        <v>1405</v>
      </c>
      <c r="C40" t="s">
        <v>1341</v>
      </c>
      <c r="D40" t="s">
        <v>1394</v>
      </c>
      <c r="E40" t="s">
        <v>1318</v>
      </c>
      <c r="F40" t="s">
        <v>1318</v>
      </c>
      <c r="G40" t="s">
        <v>1395</v>
      </c>
      <c r="K40" s="54" t="s">
        <v>837</v>
      </c>
      <c r="L40" s="54" t="s">
        <v>749</v>
      </c>
      <c r="M40" s="54" t="s">
        <v>350</v>
      </c>
      <c r="N40" s="54" t="s">
        <v>1283</v>
      </c>
    </row>
    <row r="41" spans="2:14" x14ac:dyDescent="0.35">
      <c r="B41" t="s">
        <v>470</v>
      </c>
      <c r="C41" t="s">
        <v>48</v>
      </c>
      <c r="D41" t="s">
        <v>813</v>
      </c>
      <c r="E41" t="s">
        <v>1060</v>
      </c>
      <c r="F41" t="s">
        <v>1297</v>
      </c>
      <c r="G41" t="s">
        <v>1395</v>
      </c>
      <c r="K41" s="54" t="s">
        <v>1416</v>
      </c>
      <c r="L41" s="54" t="s">
        <v>427</v>
      </c>
      <c r="M41" s="54" t="s">
        <v>206</v>
      </c>
      <c r="N41" s="54" t="s">
        <v>1292</v>
      </c>
    </row>
    <row r="42" spans="2:14" x14ac:dyDescent="0.35">
      <c r="B42" t="s">
        <v>873</v>
      </c>
      <c r="C42" t="s">
        <v>874</v>
      </c>
      <c r="D42" t="s">
        <v>976</v>
      </c>
      <c r="E42" t="s">
        <v>1306</v>
      </c>
      <c r="F42" t="s">
        <v>1329</v>
      </c>
      <c r="G42" t="s">
        <v>1395</v>
      </c>
      <c r="K42" s="54" t="s">
        <v>819</v>
      </c>
      <c r="L42" s="54" t="s">
        <v>653</v>
      </c>
      <c r="M42" s="54" t="s">
        <v>36</v>
      </c>
      <c r="N42" s="54" t="s">
        <v>1062</v>
      </c>
    </row>
    <row r="43" spans="2:14" x14ac:dyDescent="0.35">
      <c r="B43" t="s">
        <v>660</v>
      </c>
      <c r="C43" t="s">
        <v>63</v>
      </c>
      <c r="D43" t="s">
        <v>819</v>
      </c>
      <c r="E43" t="s">
        <v>1293</v>
      </c>
      <c r="F43" t="s">
        <v>1293</v>
      </c>
      <c r="G43" t="s">
        <v>1398</v>
      </c>
      <c r="K43" s="54" t="s">
        <v>815</v>
      </c>
      <c r="L43" s="54" t="s">
        <v>664</v>
      </c>
      <c r="M43" s="54" t="s">
        <v>73</v>
      </c>
      <c r="N43" s="54" t="s">
        <v>1287</v>
      </c>
    </row>
    <row r="44" spans="2:14" x14ac:dyDescent="0.35">
      <c r="B44" t="s">
        <v>875</v>
      </c>
      <c r="C44" t="s">
        <v>876</v>
      </c>
      <c r="D44" t="s">
        <v>976</v>
      </c>
      <c r="E44" t="s">
        <v>1307</v>
      </c>
      <c r="F44" t="s">
        <v>1332</v>
      </c>
      <c r="G44" t="s">
        <v>1391</v>
      </c>
      <c r="K44" s="54" t="s">
        <v>1061</v>
      </c>
      <c r="L44" s="54" t="s">
        <v>767</v>
      </c>
      <c r="M44" s="54" t="s">
        <v>368</v>
      </c>
      <c r="N44" s="54" t="s">
        <v>1062</v>
      </c>
    </row>
    <row r="45" spans="2:14" x14ac:dyDescent="0.35">
      <c r="B45" t="s">
        <v>1406</v>
      </c>
      <c r="C45" t="s">
        <v>1342</v>
      </c>
      <c r="D45" t="s">
        <v>1394</v>
      </c>
      <c r="E45" t="s">
        <v>1287</v>
      </c>
      <c r="F45" t="s">
        <v>1287</v>
      </c>
      <c r="G45" t="s">
        <v>1398</v>
      </c>
      <c r="K45" s="54" t="s">
        <v>1061</v>
      </c>
      <c r="L45" s="54" t="s">
        <v>984</v>
      </c>
      <c r="M45" s="54" t="s">
        <v>59</v>
      </c>
      <c r="N45" s="54" t="s">
        <v>1062</v>
      </c>
    </row>
    <row r="46" spans="2:14" x14ac:dyDescent="0.35">
      <c r="B46" t="s">
        <v>713</v>
      </c>
      <c r="C46" t="s">
        <v>195</v>
      </c>
      <c r="D46" t="s">
        <v>819</v>
      </c>
      <c r="E46" t="s">
        <v>1320</v>
      </c>
      <c r="F46" t="s">
        <v>1303</v>
      </c>
      <c r="G46" t="s">
        <v>1391</v>
      </c>
      <c r="K46" s="54" t="s">
        <v>825</v>
      </c>
      <c r="L46" s="54" t="s">
        <v>602</v>
      </c>
      <c r="M46" s="54" t="s">
        <v>156</v>
      </c>
      <c r="N46" s="54" t="s">
        <v>1323</v>
      </c>
    </row>
    <row r="47" spans="2:14" x14ac:dyDescent="0.35">
      <c r="B47" t="s">
        <v>652</v>
      </c>
      <c r="C47" t="s">
        <v>35</v>
      </c>
      <c r="D47" t="s">
        <v>822</v>
      </c>
      <c r="E47" t="s">
        <v>1285</v>
      </c>
      <c r="F47" t="s">
        <v>1289</v>
      </c>
      <c r="G47" t="s">
        <v>1391</v>
      </c>
      <c r="K47" s="54" t="s">
        <v>1061</v>
      </c>
      <c r="L47" s="54" t="s">
        <v>433</v>
      </c>
      <c r="M47" s="54" t="s">
        <v>81</v>
      </c>
      <c r="N47" s="54" t="s">
        <v>1297</v>
      </c>
    </row>
    <row r="48" spans="2:14" x14ac:dyDescent="0.35">
      <c r="B48" t="s">
        <v>879</v>
      </c>
      <c r="C48" t="s">
        <v>880</v>
      </c>
      <c r="D48" t="s">
        <v>976</v>
      </c>
      <c r="E48" t="s">
        <v>1301</v>
      </c>
      <c r="F48" t="s">
        <v>1301</v>
      </c>
      <c r="G48" t="s">
        <v>1400</v>
      </c>
      <c r="K48" s="54" t="s">
        <v>837</v>
      </c>
      <c r="L48" s="54" t="s">
        <v>770</v>
      </c>
      <c r="M48" s="54" t="s">
        <v>372</v>
      </c>
      <c r="N48" s="54" t="s">
        <v>1282</v>
      </c>
    </row>
    <row r="49" spans="2:14" x14ac:dyDescent="0.35">
      <c r="B49" t="s">
        <v>1091</v>
      </c>
      <c r="C49" t="s">
        <v>1152</v>
      </c>
      <c r="D49" t="s">
        <v>1219</v>
      </c>
      <c r="E49" t="s">
        <v>1282</v>
      </c>
      <c r="F49" t="s">
        <v>1282</v>
      </c>
      <c r="G49" t="s">
        <v>1391</v>
      </c>
      <c r="K49" s="54" t="s">
        <v>828</v>
      </c>
      <c r="L49" s="54" t="s">
        <v>1017</v>
      </c>
      <c r="M49" s="54" t="s">
        <v>143</v>
      </c>
      <c r="N49" s="54" t="s">
        <v>1293</v>
      </c>
    </row>
    <row r="50" spans="2:14" x14ac:dyDescent="0.35">
      <c r="B50" t="s">
        <v>549</v>
      </c>
      <c r="C50" t="s">
        <v>38</v>
      </c>
      <c r="D50" t="s">
        <v>1223</v>
      </c>
      <c r="E50" t="s">
        <v>1298</v>
      </c>
      <c r="F50" t="s">
        <v>1293</v>
      </c>
      <c r="G50" t="s">
        <v>1398</v>
      </c>
      <c r="K50" s="54" t="s">
        <v>1219</v>
      </c>
      <c r="L50" s="54" t="s">
        <v>1142</v>
      </c>
      <c r="M50" s="54" t="s">
        <v>1199</v>
      </c>
      <c r="N50" s="54" t="s">
        <v>1287</v>
      </c>
    </row>
    <row r="51" spans="2:14" x14ac:dyDescent="0.35">
      <c r="B51" t="s">
        <v>1073</v>
      </c>
      <c r="C51" t="s">
        <v>103</v>
      </c>
      <c r="D51" t="s">
        <v>810</v>
      </c>
      <c r="E51" t="s">
        <v>1284</v>
      </c>
      <c r="F51" t="s">
        <v>1407</v>
      </c>
      <c r="G51" t="s">
        <v>1391</v>
      </c>
      <c r="K51" s="54" t="s">
        <v>1394</v>
      </c>
      <c r="L51" s="54" t="s">
        <v>1458</v>
      </c>
      <c r="M51" s="54" t="s">
        <v>1375</v>
      </c>
      <c r="N51" s="54" t="s">
        <v>1288</v>
      </c>
    </row>
    <row r="52" spans="2:14" x14ac:dyDescent="0.35">
      <c r="B52" t="s">
        <v>1408</v>
      </c>
      <c r="C52" t="s">
        <v>1344</v>
      </c>
      <c r="D52" t="s">
        <v>1394</v>
      </c>
      <c r="E52" t="s">
        <v>1316</v>
      </c>
      <c r="F52" t="s">
        <v>1316</v>
      </c>
      <c r="G52" t="s">
        <v>1395</v>
      </c>
      <c r="K52" s="54" t="s">
        <v>1061</v>
      </c>
      <c r="L52" s="54" t="s">
        <v>985</v>
      </c>
      <c r="M52" s="54" t="s">
        <v>72</v>
      </c>
      <c r="N52" s="54" t="s">
        <v>1289</v>
      </c>
    </row>
    <row r="53" spans="2:14" x14ac:dyDescent="0.35">
      <c r="B53" t="s">
        <v>418</v>
      </c>
      <c r="C53" t="s">
        <v>33</v>
      </c>
      <c r="D53" t="s">
        <v>1061</v>
      </c>
      <c r="E53" t="s">
        <v>1284</v>
      </c>
      <c r="F53" t="s">
        <v>1407</v>
      </c>
      <c r="G53" t="s">
        <v>1391</v>
      </c>
      <c r="K53" s="54" t="s">
        <v>1225</v>
      </c>
      <c r="L53" s="54" t="s">
        <v>592</v>
      </c>
      <c r="M53" s="54" t="s">
        <v>60</v>
      </c>
      <c r="N53" s="54" t="s">
        <v>1287</v>
      </c>
    </row>
    <row r="54" spans="2:14" x14ac:dyDescent="0.35">
      <c r="B54" t="s">
        <v>1117</v>
      </c>
      <c r="C54" t="s">
        <v>1165</v>
      </c>
      <c r="D54" t="s">
        <v>1219</v>
      </c>
      <c r="E54" t="s">
        <v>1316</v>
      </c>
      <c r="F54" t="s">
        <v>1316</v>
      </c>
      <c r="G54" t="s">
        <v>1395</v>
      </c>
      <c r="K54" s="54" t="s">
        <v>815</v>
      </c>
      <c r="L54" s="54" t="s">
        <v>644</v>
      </c>
      <c r="M54" s="54" t="s">
        <v>15</v>
      </c>
      <c r="N54" s="54" t="s">
        <v>1287</v>
      </c>
    </row>
    <row r="55" spans="2:14" x14ac:dyDescent="0.35">
      <c r="B55" t="s">
        <v>883</v>
      </c>
      <c r="C55" t="s">
        <v>884</v>
      </c>
      <c r="D55" t="s">
        <v>976</v>
      </c>
      <c r="E55" t="s">
        <v>1306</v>
      </c>
      <c r="F55" t="s">
        <v>1329</v>
      </c>
      <c r="G55" t="s">
        <v>1395</v>
      </c>
      <c r="K55" s="54" t="s">
        <v>1394</v>
      </c>
      <c r="L55" s="54" t="s">
        <v>1464</v>
      </c>
      <c r="M55" s="54" t="s">
        <v>1381</v>
      </c>
      <c r="N55" s="54" t="s">
        <v>1308</v>
      </c>
    </row>
    <row r="56" spans="2:14" x14ac:dyDescent="0.35">
      <c r="B56" t="s">
        <v>404</v>
      </c>
      <c r="C56" t="s">
        <v>44</v>
      </c>
      <c r="D56" t="s">
        <v>1061</v>
      </c>
      <c r="E56" t="s">
        <v>1280</v>
      </c>
      <c r="F56" t="s">
        <v>1409</v>
      </c>
      <c r="G56" t="s">
        <v>1395</v>
      </c>
      <c r="K56" s="54" t="s">
        <v>1394</v>
      </c>
      <c r="L56" s="54" t="s">
        <v>1452</v>
      </c>
      <c r="M56" s="54" t="s">
        <v>1370</v>
      </c>
      <c r="N56" s="54" t="s">
        <v>1297</v>
      </c>
    </row>
    <row r="57" spans="2:14" x14ac:dyDescent="0.35">
      <c r="B57" t="s">
        <v>479</v>
      </c>
      <c r="C57" t="s">
        <v>24</v>
      </c>
      <c r="D57" t="s">
        <v>1061</v>
      </c>
      <c r="E57" t="s">
        <v>1284</v>
      </c>
      <c r="F57" t="s">
        <v>1297</v>
      </c>
      <c r="G57" t="s">
        <v>1391</v>
      </c>
      <c r="K57" s="54" t="s">
        <v>819</v>
      </c>
      <c r="L57" s="54" t="s">
        <v>701</v>
      </c>
      <c r="M57" s="54" t="s">
        <v>154</v>
      </c>
      <c r="N57" s="54" t="s">
        <v>1300</v>
      </c>
    </row>
    <row r="58" spans="2:14" x14ac:dyDescent="0.35">
      <c r="B58" t="s">
        <v>885</v>
      </c>
      <c r="C58" t="s">
        <v>886</v>
      </c>
      <c r="D58" t="s">
        <v>976</v>
      </c>
      <c r="E58" t="s">
        <v>1305</v>
      </c>
      <c r="F58" t="s">
        <v>1328</v>
      </c>
      <c r="G58" t="s">
        <v>1400</v>
      </c>
      <c r="K58" s="54" t="s">
        <v>1219</v>
      </c>
      <c r="L58" s="54" t="s">
        <v>1127</v>
      </c>
      <c r="M58" s="54" t="s">
        <v>1343</v>
      </c>
      <c r="N58" s="54" t="s">
        <v>1287</v>
      </c>
    </row>
    <row r="59" spans="2:14" x14ac:dyDescent="0.35">
      <c r="B59" t="s">
        <v>400</v>
      </c>
      <c r="C59" t="s">
        <v>83</v>
      </c>
      <c r="D59" t="s">
        <v>1061</v>
      </c>
      <c r="E59" t="s">
        <v>1286</v>
      </c>
      <c r="F59" t="s">
        <v>1289</v>
      </c>
      <c r="G59" t="s">
        <v>1391</v>
      </c>
      <c r="K59" s="54" t="s">
        <v>1221</v>
      </c>
      <c r="L59" s="54" t="s">
        <v>528</v>
      </c>
      <c r="M59" s="54" t="s">
        <v>136</v>
      </c>
      <c r="N59" s="54" t="s">
        <v>1297</v>
      </c>
    </row>
    <row r="60" spans="2:14" x14ac:dyDescent="0.35">
      <c r="B60" t="s">
        <v>1410</v>
      </c>
      <c r="C60" t="s">
        <v>1345</v>
      </c>
      <c r="D60" t="s">
        <v>1394</v>
      </c>
      <c r="E60" t="s">
        <v>1289</v>
      </c>
      <c r="F60" t="s">
        <v>1289</v>
      </c>
      <c r="G60" t="s">
        <v>1391</v>
      </c>
      <c r="K60" s="54" t="s">
        <v>976</v>
      </c>
      <c r="L60" s="54" t="s">
        <v>962</v>
      </c>
      <c r="M60" s="54" t="s">
        <v>963</v>
      </c>
      <c r="N60" s="54" t="s">
        <v>1289</v>
      </c>
    </row>
    <row r="61" spans="2:14" x14ac:dyDescent="0.35">
      <c r="B61" t="s">
        <v>1102</v>
      </c>
      <c r="C61" t="s">
        <v>1192</v>
      </c>
      <c r="D61" t="s">
        <v>1219</v>
      </c>
      <c r="E61" t="s">
        <v>1306</v>
      </c>
      <c r="F61" t="s">
        <v>1329</v>
      </c>
      <c r="G61" t="s">
        <v>1395</v>
      </c>
      <c r="K61" s="54" t="s">
        <v>1219</v>
      </c>
      <c r="L61" s="54" t="s">
        <v>1119</v>
      </c>
      <c r="M61" s="54" t="s">
        <v>1162</v>
      </c>
      <c r="N61" s="54" t="s">
        <v>1307</v>
      </c>
    </row>
    <row r="62" spans="2:14" x14ac:dyDescent="0.35">
      <c r="B62" t="s">
        <v>1411</v>
      </c>
      <c r="C62" t="s">
        <v>1192</v>
      </c>
      <c r="D62" t="s">
        <v>1219</v>
      </c>
      <c r="E62" t="s">
        <v>1306</v>
      </c>
      <c r="F62" t="s">
        <v>1329</v>
      </c>
      <c r="G62" t="s">
        <v>1395</v>
      </c>
      <c r="K62" s="54" t="s">
        <v>810</v>
      </c>
      <c r="L62" s="54" t="s">
        <v>1073</v>
      </c>
      <c r="M62" s="54" t="s">
        <v>103</v>
      </c>
      <c r="N62" s="54" t="s">
        <v>1407</v>
      </c>
    </row>
    <row r="63" spans="2:14" x14ac:dyDescent="0.35">
      <c r="B63" t="s">
        <v>1124</v>
      </c>
      <c r="C63" t="s">
        <v>1178</v>
      </c>
      <c r="D63" t="s">
        <v>1219</v>
      </c>
      <c r="E63" t="s">
        <v>1308</v>
      </c>
      <c r="F63" t="s">
        <v>1308</v>
      </c>
      <c r="G63" t="s">
        <v>1395</v>
      </c>
      <c r="K63" s="54" t="s">
        <v>822</v>
      </c>
      <c r="L63" s="54" t="s">
        <v>670</v>
      </c>
      <c r="M63" s="54" t="s">
        <v>89</v>
      </c>
      <c r="N63" s="54" t="s">
        <v>1312</v>
      </c>
    </row>
    <row r="64" spans="2:14" x14ac:dyDescent="0.35">
      <c r="B64" t="s">
        <v>1010</v>
      </c>
      <c r="C64" t="s">
        <v>82</v>
      </c>
      <c r="D64" t="s">
        <v>819</v>
      </c>
      <c r="E64" t="s">
        <v>1295</v>
      </c>
      <c r="F64" t="s">
        <v>1297</v>
      </c>
      <c r="G64" t="s">
        <v>1395</v>
      </c>
      <c r="K64" s="54" t="s">
        <v>837</v>
      </c>
      <c r="L64" s="54" t="s">
        <v>748</v>
      </c>
      <c r="M64" s="54" t="s">
        <v>349</v>
      </c>
      <c r="N64" s="54" t="s">
        <v>1310</v>
      </c>
    </row>
    <row r="65" spans="2:14" x14ac:dyDescent="0.35">
      <c r="B65" t="s">
        <v>1000</v>
      </c>
      <c r="C65" t="s">
        <v>82</v>
      </c>
      <c r="D65" t="s">
        <v>819</v>
      </c>
      <c r="E65" t="s">
        <v>1295</v>
      </c>
      <c r="F65" t="s">
        <v>1297</v>
      </c>
      <c r="G65" t="s">
        <v>1395</v>
      </c>
      <c r="K65" s="54" t="s">
        <v>822</v>
      </c>
      <c r="L65" s="54" t="s">
        <v>695</v>
      </c>
      <c r="M65" s="54" t="s">
        <v>138</v>
      </c>
      <c r="N65" s="54" t="s">
        <v>1288</v>
      </c>
    </row>
    <row r="66" spans="2:14" x14ac:dyDescent="0.35">
      <c r="B66" t="s">
        <v>1050</v>
      </c>
      <c r="C66" t="s">
        <v>82</v>
      </c>
      <c r="D66" t="s">
        <v>819</v>
      </c>
      <c r="E66" t="s">
        <v>1295</v>
      </c>
      <c r="F66" t="s">
        <v>1297</v>
      </c>
      <c r="G66" t="s">
        <v>1395</v>
      </c>
      <c r="K66" s="54" t="s">
        <v>1394</v>
      </c>
      <c r="L66" s="54" t="s">
        <v>1417</v>
      </c>
      <c r="M66" s="54" t="s">
        <v>1347</v>
      </c>
      <c r="N66" s="54" t="s">
        <v>1294</v>
      </c>
    </row>
    <row r="67" spans="2:14" x14ac:dyDescent="0.35">
      <c r="B67" t="s">
        <v>1258</v>
      </c>
      <c r="C67" t="s">
        <v>82</v>
      </c>
      <c r="D67" t="s">
        <v>819</v>
      </c>
      <c r="E67" t="s">
        <v>1295</v>
      </c>
      <c r="F67" t="s">
        <v>1297</v>
      </c>
      <c r="G67" t="s">
        <v>1395</v>
      </c>
      <c r="K67" s="54" t="s">
        <v>837</v>
      </c>
      <c r="L67" s="54" t="s">
        <v>755</v>
      </c>
      <c r="M67" s="54" t="s">
        <v>356</v>
      </c>
      <c r="N67" s="54" t="s">
        <v>1062</v>
      </c>
    </row>
    <row r="68" spans="2:14" x14ac:dyDescent="0.35">
      <c r="B68" t="s">
        <v>545</v>
      </c>
      <c r="C68" t="s">
        <v>2</v>
      </c>
      <c r="D68" t="s">
        <v>1061</v>
      </c>
      <c r="E68" t="s">
        <v>1285</v>
      </c>
      <c r="F68" t="s">
        <v>1289</v>
      </c>
      <c r="G68" t="s">
        <v>1391</v>
      </c>
      <c r="K68" s="54" t="s">
        <v>822</v>
      </c>
      <c r="L68" s="54" t="s">
        <v>667</v>
      </c>
      <c r="M68" s="54" t="s">
        <v>80</v>
      </c>
      <c r="N68" s="54" t="s">
        <v>1282</v>
      </c>
    </row>
    <row r="69" spans="2:14" x14ac:dyDescent="0.35">
      <c r="B69" t="s">
        <v>565</v>
      </c>
      <c r="C69" t="s">
        <v>1231</v>
      </c>
      <c r="D69" t="s">
        <v>1225</v>
      </c>
      <c r="E69" t="s">
        <v>1295</v>
      </c>
      <c r="F69" t="s">
        <v>1312</v>
      </c>
      <c r="G69" t="s">
        <v>1395</v>
      </c>
      <c r="K69" s="54" t="s">
        <v>1394</v>
      </c>
      <c r="L69" s="54" t="s">
        <v>1427</v>
      </c>
      <c r="M69" s="54" t="s">
        <v>1355</v>
      </c>
      <c r="N69" s="54" t="s">
        <v>1404</v>
      </c>
    </row>
    <row r="70" spans="2:14" x14ac:dyDescent="0.35">
      <c r="B70" t="s">
        <v>696</v>
      </c>
      <c r="C70" t="s">
        <v>140</v>
      </c>
      <c r="D70" t="s">
        <v>822</v>
      </c>
      <c r="E70" t="s">
        <v>1289</v>
      </c>
      <c r="F70" t="s">
        <v>1289</v>
      </c>
      <c r="G70" t="s">
        <v>1391</v>
      </c>
      <c r="K70" s="54" t="s">
        <v>822</v>
      </c>
      <c r="L70" s="54" t="s">
        <v>679</v>
      </c>
      <c r="M70" s="54" t="s">
        <v>113</v>
      </c>
      <c r="N70" s="54" t="s">
        <v>1283</v>
      </c>
    </row>
    <row r="71" spans="2:14" x14ac:dyDescent="0.35">
      <c r="B71" t="s">
        <v>653</v>
      </c>
      <c r="C71" t="s">
        <v>36</v>
      </c>
      <c r="D71" t="s">
        <v>819</v>
      </c>
      <c r="E71" t="s">
        <v>1291</v>
      </c>
      <c r="F71" t="s">
        <v>1062</v>
      </c>
      <c r="G71" t="s">
        <v>1398</v>
      </c>
      <c r="K71" s="54" t="s">
        <v>1061</v>
      </c>
      <c r="L71" s="54" t="s">
        <v>439</v>
      </c>
      <c r="M71" s="54" t="s">
        <v>46</v>
      </c>
      <c r="N71" s="54" t="s">
        <v>1396</v>
      </c>
    </row>
    <row r="72" spans="2:14" x14ac:dyDescent="0.35">
      <c r="B72" t="s">
        <v>1104</v>
      </c>
      <c r="C72" t="s">
        <v>1412</v>
      </c>
      <c r="D72" t="s">
        <v>1219</v>
      </c>
      <c r="E72" t="s">
        <v>1283</v>
      </c>
      <c r="F72" t="s">
        <v>1283</v>
      </c>
      <c r="G72" t="s">
        <v>1391</v>
      </c>
      <c r="K72" s="54" t="s">
        <v>825</v>
      </c>
      <c r="L72" s="54" t="s">
        <v>600</v>
      </c>
      <c r="M72" s="54" t="s">
        <v>182</v>
      </c>
      <c r="N72" s="54" t="s">
        <v>1293</v>
      </c>
    </row>
    <row r="73" spans="2:14" x14ac:dyDescent="0.35">
      <c r="B73" t="s">
        <v>1009</v>
      </c>
      <c r="C73" t="s">
        <v>82</v>
      </c>
      <c r="D73" t="s">
        <v>819</v>
      </c>
      <c r="E73" t="s">
        <v>1295</v>
      </c>
      <c r="F73" t="s">
        <v>1297</v>
      </c>
      <c r="G73" t="s">
        <v>1395</v>
      </c>
      <c r="K73" s="54" t="s">
        <v>821</v>
      </c>
      <c r="L73" s="54" t="s">
        <v>637</v>
      </c>
      <c r="M73" s="54" t="s">
        <v>149</v>
      </c>
      <c r="N73" s="54" t="s">
        <v>1289</v>
      </c>
    </row>
    <row r="74" spans="2:14" x14ac:dyDescent="0.35">
      <c r="B74" t="s">
        <v>1413</v>
      </c>
      <c r="C74" t="s">
        <v>82</v>
      </c>
      <c r="D74" t="s">
        <v>819</v>
      </c>
      <c r="E74" t="s">
        <v>1295</v>
      </c>
      <c r="F74" t="s">
        <v>1297</v>
      </c>
      <c r="G74" t="s">
        <v>1395</v>
      </c>
      <c r="K74" s="54" t="s">
        <v>1061</v>
      </c>
      <c r="L74" s="54" t="s">
        <v>497</v>
      </c>
      <c r="M74" s="54" t="s">
        <v>155</v>
      </c>
      <c r="N74" s="54" t="s">
        <v>1407</v>
      </c>
    </row>
    <row r="75" spans="2:14" x14ac:dyDescent="0.35">
      <c r="B75" t="s">
        <v>1037</v>
      </c>
      <c r="C75" t="s">
        <v>82</v>
      </c>
      <c r="D75" t="s">
        <v>819</v>
      </c>
      <c r="E75" t="s">
        <v>1295</v>
      </c>
      <c r="F75" t="s">
        <v>1297</v>
      </c>
      <c r="G75" t="s">
        <v>1395</v>
      </c>
      <c r="K75" s="54" t="s">
        <v>812</v>
      </c>
      <c r="L75" s="54" t="s">
        <v>468</v>
      </c>
      <c r="M75" s="54" t="s">
        <v>54</v>
      </c>
      <c r="N75" s="54" t="s">
        <v>1286</v>
      </c>
    </row>
    <row r="76" spans="2:14" x14ac:dyDescent="0.35">
      <c r="B76" t="s">
        <v>1414</v>
      </c>
      <c r="C76" t="s">
        <v>1415</v>
      </c>
      <c r="D76" t="s">
        <v>814</v>
      </c>
      <c r="E76" t="s">
        <v>1062</v>
      </c>
      <c r="F76" t="s">
        <v>1062</v>
      </c>
      <c r="G76" t="s">
        <v>1400</v>
      </c>
      <c r="K76" s="54" t="s">
        <v>1219</v>
      </c>
      <c r="L76" s="54" t="s">
        <v>1126</v>
      </c>
      <c r="M76" s="54" t="s">
        <v>1177</v>
      </c>
      <c r="N76" s="54" t="s">
        <v>1309</v>
      </c>
    </row>
    <row r="77" spans="2:14" x14ac:dyDescent="0.35">
      <c r="B77" t="s">
        <v>748</v>
      </c>
      <c r="C77" t="s">
        <v>349</v>
      </c>
      <c r="D77" t="s">
        <v>837</v>
      </c>
      <c r="E77" t="s">
        <v>1304</v>
      </c>
      <c r="F77" t="s">
        <v>1310</v>
      </c>
      <c r="G77" t="s">
        <v>1395</v>
      </c>
      <c r="K77" s="54" t="s">
        <v>1219</v>
      </c>
      <c r="L77" s="54" t="s">
        <v>1102</v>
      </c>
      <c r="M77" s="54" t="s">
        <v>1192</v>
      </c>
      <c r="N77" s="54" t="s">
        <v>1329</v>
      </c>
    </row>
    <row r="78" spans="2:14" x14ac:dyDescent="0.35">
      <c r="B78" t="s">
        <v>889</v>
      </c>
      <c r="C78" t="s">
        <v>890</v>
      </c>
      <c r="D78" t="s">
        <v>976</v>
      </c>
      <c r="E78" t="s">
        <v>1283</v>
      </c>
      <c r="F78" t="s">
        <v>1283</v>
      </c>
      <c r="G78" t="s">
        <v>1391</v>
      </c>
      <c r="K78" s="54" t="s">
        <v>810</v>
      </c>
      <c r="L78" s="54" t="s">
        <v>1234</v>
      </c>
      <c r="M78" s="54" t="s">
        <v>61</v>
      </c>
      <c r="N78" s="54" t="s">
        <v>1287</v>
      </c>
    </row>
    <row r="79" spans="2:14" x14ac:dyDescent="0.35">
      <c r="B79" t="s">
        <v>1253</v>
      </c>
      <c r="C79" t="s">
        <v>890</v>
      </c>
      <c r="D79" t="s">
        <v>976</v>
      </c>
      <c r="E79" t="s">
        <v>1283</v>
      </c>
      <c r="F79" t="s">
        <v>1283</v>
      </c>
      <c r="G79" t="s">
        <v>1391</v>
      </c>
      <c r="K79" s="54" t="s">
        <v>1260</v>
      </c>
      <c r="L79" s="54" t="s">
        <v>1113</v>
      </c>
      <c r="M79" s="54" t="s">
        <v>1193</v>
      </c>
      <c r="N79" s="54" t="s">
        <v>1303</v>
      </c>
    </row>
    <row r="80" spans="2:14" x14ac:dyDescent="0.35">
      <c r="B80" t="s">
        <v>749</v>
      </c>
      <c r="C80" t="s">
        <v>350</v>
      </c>
      <c r="D80" t="s">
        <v>837</v>
      </c>
      <c r="E80" t="s">
        <v>1283</v>
      </c>
      <c r="F80" t="s">
        <v>1283</v>
      </c>
      <c r="G80" t="s">
        <v>1391</v>
      </c>
      <c r="K80" s="54" t="s">
        <v>1061</v>
      </c>
      <c r="L80" s="54" t="s">
        <v>597</v>
      </c>
      <c r="M80" s="54" t="s">
        <v>153</v>
      </c>
      <c r="N80" s="54" t="s">
        <v>1062</v>
      </c>
    </row>
    <row r="81" spans="2:14" x14ac:dyDescent="0.35">
      <c r="B81" t="s">
        <v>1004</v>
      </c>
      <c r="C81" t="s">
        <v>37</v>
      </c>
      <c r="D81" t="s">
        <v>1061</v>
      </c>
      <c r="E81" t="s">
        <v>1060</v>
      </c>
      <c r="F81" t="s">
        <v>1060</v>
      </c>
      <c r="G81" t="s">
        <v>1395</v>
      </c>
      <c r="K81" s="54" t="s">
        <v>837</v>
      </c>
      <c r="L81" s="54" t="s">
        <v>759</v>
      </c>
      <c r="M81" s="54" t="s">
        <v>360</v>
      </c>
      <c r="N81" s="54" t="s">
        <v>1301</v>
      </c>
    </row>
    <row r="82" spans="2:14" x14ac:dyDescent="0.35">
      <c r="B82" t="s">
        <v>427</v>
      </c>
      <c r="C82" t="s">
        <v>1018</v>
      </c>
      <c r="D82" t="s">
        <v>1416</v>
      </c>
      <c r="E82" t="s">
        <v>1307</v>
      </c>
      <c r="F82" t="s">
        <v>1292</v>
      </c>
      <c r="G82" t="s">
        <v>1391</v>
      </c>
      <c r="K82" s="54" t="s">
        <v>1223</v>
      </c>
      <c r="L82" s="54" t="s">
        <v>571</v>
      </c>
      <c r="M82" s="54" t="s">
        <v>310</v>
      </c>
      <c r="N82" s="54" t="s">
        <v>1288</v>
      </c>
    </row>
    <row r="83" spans="2:14" x14ac:dyDescent="0.35">
      <c r="B83" t="s">
        <v>1014</v>
      </c>
      <c r="C83" t="s">
        <v>272</v>
      </c>
      <c r="D83" t="s">
        <v>828</v>
      </c>
      <c r="E83" t="s">
        <v>1303</v>
      </c>
      <c r="F83" t="s">
        <v>1303</v>
      </c>
      <c r="G83" t="s">
        <v>1391</v>
      </c>
      <c r="K83" s="54" t="s">
        <v>976</v>
      </c>
      <c r="L83" s="54" t="s">
        <v>593</v>
      </c>
      <c r="M83" s="54" t="s">
        <v>298</v>
      </c>
      <c r="N83" s="54" t="s">
        <v>1294</v>
      </c>
    </row>
    <row r="84" spans="2:14" x14ac:dyDescent="0.35">
      <c r="B84" t="s">
        <v>656</v>
      </c>
      <c r="C84" t="s">
        <v>52</v>
      </c>
      <c r="D84" t="s">
        <v>815</v>
      </c>
      <c r="E84" t="s">
        <v>1294</v>
      </c>
      <c r="F84" t="s">
        <v>1294</v>
      </c>
      <c r="G84" t="s">
        <v>1391</v>
      </c>
      <c r="K84" s="54" t="s">
        <v>812</v>
      </c>
      <c r="L84" s="54" t="s">
        <v>413</v>
      </c>
      <c r="M84" s="54" t="s">
        <v>7</v>
      </c>
      <c r="N84" s="54" t="s">
        <v>1297</v>
      </c>
    </row>
    <row r="85" spans="2:14" x14ac:dyDescent="0.35">
      <c r="B85" t="s">
        <v>1149</v>
      </c>
      <c r="C85" t="s">
        <v>891</v>
      </c>
      <c r="D85" t="s">
        <v>1061</v>
      </c>
      <c r="E85" t="s">
        <v>1302</v>
      </c>
      <c r="F85" t="s">
        <v>1302</v>
      </c>
      <c r="G85" t="s">
        <v>1391</v>
      </c>
      <c r="K85" s="54" t="s">
        <v>1219</v>
      </c>
      <c r="L85" s="54" t="s">
        <v>1094</v>
      </c>
      <c r="M85" s="54" t="s">
        <v>1159</v>
      </c>
      <c r="N85" s="54" t="s">
        <v>1302</v>
      </c>
    </row>
    <row r="86" spans="2:14" x14ac:dyDescent="0.35">
      <c r="B86" t="s">
        <v>670</v>
      </c>
      <c r="C86" t="s">
        <v>89</v>
      </c>
      <c r="D86" t="s">
        <v>822</v>
      </c>
      <c r="E86" t="s">
        <v>1312</v>
      </c>
      <c r="F86" t="s">
        <v>1312</v>
      </c>
      <c r="G86" t="s">
        <v>1395</v>
      </c>
      <c r="K86" s="54" t="s">
        <v>1223</v>
      </c>
      <c r="L86" s="54" t="s">
        <v>556</v>
      </c>
      <c r="M86" s="54" t="s">
        <v>41</v>
      </c>
      <c r="N86" s="54" t="s">
        <v>1287</v>
      </c>
    </row>
    <row r="87" spans="2:14" x14ac:dyDescent="0.35">
      <c r="B87" t="s">
        <v>1103</v>
      </c>
      <c r="C87" t="s">
        <v>1187</v>
      </c>
      <c r="D87" t="s">
        <v>1219</v>
      </c>
      <c r="E87" t="s">
        <v>1315</v>
      </c>
      <c r="F87" t="s">
        <v>1315</v>
      </c>
      <c r="G87" t="s">
        <v>1391</v>
      </c>
      <c r="K87" s="54" t="s">
        <v>829</v>
      </c>
      <c r="L87" s="54" t="s">
        <v>543</v>
      </c>
      <c r="M87" s="54" t="s">
        <v>130</v>
      </c>
      <c r="N87" s="54" t="s">
        <v>1293</v>
      </c>
    </row>
    <row r="88" spans="2:14" x14ac:dyDescent="0.35">
      <c r="B88" t="s">
        <v>1035</v>
      </c>
      <c r="C88" t="s">
        <v>78</v>
      </c>
      <c r="D88" t="s">
        <v>828</v>
      </c>
      <c r="E88" t="s">
        <v>1060</v>
      </c>
      <c r="F88" t="s">
        <v>1312</v>
      </c>
      <c r="G88" t="s">
        <v>1395</v>
      </c>
      <c r="K88" s="54" t="s">
        <v>1219</v>
      </c>
      <c r="L88" s="54" t="s">
        <v>1101</v>
      </c>
      <c r="M88" s="54" t="s">
        <v>1185</v>
      </c>
      <c r="N88" s="54" t="s">
        <v>1329</v>
      </c>
    </row>
    <row r="89" spans="2:14" x14ac:dyDescent="0.35">
      <c r="B89" t="s">
        <v>992</v>
      </c>
      <c r="C89" t="s">
        <v>78</v>
      </c>
      <c r="D89" t="s">
        <v>828</v>
      </c>
      <c r="E89" t="s">
        <v>1060</v>
      </c>
      <c r="F89" t="s">
        <v>1312</v>
      </c>
      <c r="G89" t="s">
        <v>1395</v>
      </c>
      <c r="K89" s="54" t="s">
        <v>828</v>
      </c>
      <c r="L89" s="54" t="s">
        <v>730</v>
      </c>
      <c r="M89" s="54" t="s">
        <v>303</v>
      </c>
      <c r="N89" s="54" t="s">
        <v>1303</v>
      </c>
    </row>
    <row r="90" spans="2:14" x14ac:dyDescent="0.35">
      <c r="B90" t="s">
        <v>608</v>
      </c>
      <c r="C90" t="s">
        <v>78</v>
      </c>
      <c r="D90" t="s">
        <v>828</v>
      </c>
      <c r="E90" t="s">
        <v>1060</v>
      </c>
      <c r="F90" t="s">
        <v>1312</v>
      </c>
      <c r="G90" t="s">
        <v>1395</v>
      </c>
      <c r="K90" s="54" t="s">
        <v>815</v>
      </c>
      <c r="L90" s="54" t="s">
        <v>683</v>
      </c>
      <c r="M90" s="54" t="s">
        <v>119</v>
      </c>
      <c r="N90" s="54" t="s">
        <v>1300</v>
      </c>
    </row>
    <row r="91" spans="2:14" x14ac:dyDescent="0.35">
      <c r="B91" t="s">
        <v>1059</v>
      </c>
      <c r="C91" t="s">
        <v>78</v>
      </c>
      <c r="D91" t="s">
        <v>828</v>
      </c>
      <c r="E91" t="s">
        <v>1060</v>
      </c>
      <c r="F91" t="s">
        <v>1312</v>
      </c>
      <c r="G91" t="s">
        <v>1395</v>
      </c>
      <c r="K91" s="54" t="s">
        <v>825</v>
      </c>
      <c r="L91" s="54" t="s">
        <v>601</v>
      </c>
      <c r="M91" s="54" t="s">
        <v>152</v>
      </c>
      <c r="N91" s="54" t="s">
        <v>1303</v>
      </c>
    </row>
    <row r="92" spans="2:14" x14ac:dyDescent="0.35">
      <c r="B92" t="s">
        <v>543</v>
      </c>
      <c r="C92" t="s">
        <v>130</v>
      </c>
      <c r="D92" t="s">
        <v>829</v>
      </c>
      <c r="E92" t="s">
        <v>1293</v>
      </c>
      <c r="F92" t="s">
        <v>1293</v>
      </c>
      <c r="G92" t="s">
        <v>1398</v>
      </c>
      <c r="K92" s="54" t="s">
        <v>1394</v>
      </c>
      <c r="L92" s="54" t="s">
        <v>1428</v>
      </c>
      <c r="M92" s="54" t="s">
        <v>1356</v>
      </c>
      <c r="N92" s="54" t="s">
        <v>1062</v>
      </c>
    </row>
    <row r="93" spans="2:14" x14ac:dyDescent="0.35">
      <c r="B93" t="s">
        <v>615</v>
      </c>
      <c r="C93" t="s">
        <v>205</v>
      </c>
      <c r="D93" t="s">
        <v>836</v>
      </c>
      <c r="E93" t="s">
        <v>1294</v>
      </c>
      <c r="F93" t="s">
        <v>1294</v>
      </c>
      <c r="G93" t="s">
        <v>1391</v>
      </c>
      <c r="K93" s="54" t="s">
        <v>1394</v>
      </c>
      <c r="L93" s="54" t="s">
        <v>1410</v>
      </c>
      <c r="M93" s="54" t="s">
        <v>1345</v>
      </c>
      <c r="N93" s="54" t="s">
        <v>1289</v>
      </c>
    </row>
    <row r="94" spans="2:14" x14ac:dyDescent="0.35">
      <c r="B94" t="s">
        <v>432</v>
      </c>
      <c r="C94" t="s">
        <v>69</v>
      </c>
      <c r="D94" t="s">
        <v>1061</v>
      </c>
      <c r="E94" t="s">
        <v>1298</v>
      </c>
      <c r="F94" t="s">
        <v>1407</v>
      </c>
      <c r="G94" t="s">
        <v>1395</v>
      </c>
      <c r="K94" s="54" t="s">
        <v>1394</v>
      </c>
      <c r="L94" s="54" t="s">
        <v>1451</v>
      </c>
      <c r="M94" s="54" t="s">
        <v>1368</v>
      </c>
      <c r="N94" s="54" t="s">
        <v>1282</v>
      </c>
    </row>
    <row r="95" spans="2:14" x14ac:dyDescent="0.35">
      <c r="B95" t="s">
        <v>658</v>
      </c>
      <c r="C95" t="s">
        <v>57</v>
      </c>
      <c r="D95" t="s">
        <v>822</v>
      </c>
      <c r="E95" t="s">
        <v>1293</v>
      </c>
      <c r="F95" t="s">
        <v>1293</v>
      </c>
      <c r="G95" t="s">
        <v>1398</v>
      </c>
      <c r="K95" s="54" t="s">
        <v>1219</v>
      </c>
      <c r="L95" s="54" t="s">
        <v>1147</v>
      </c>
      <c r="M95" s="54" t="s">
        <v>1179</v>
      </c>
      <c r="N95" s="54" t="s">
        <v>1283</v>
      </c>
    </row>
    <row r="96" spans="2:14" x14ac:dyDescent="0.35">
      <c r="B96" t="s">
        <v>1118</v>
      </c>
      <c r="C96" t="s">
        <v>1210</v>
      </c>
      <c r="D96" t="s">
        <v>1219</v>
      </c>
      <c r="E96" t="s">
        <v>1307</v>
      </c>
      <c r="F96" t="s">
        <v>1307</v>
      </c>
      <c r="G96" t="s">
        <v>1391</v>
      </c>
      <c r="K96" s="54" t="s">
        <v>1394</v>
      </c>
      <c r="L96" s="54" t="s">
        <v>1470</v>
      </c>
      <c r="M96" s="54" t="s">
        <v>1384</v>
      </c>
      <c r="N96" s="54" t="s">
        <v>1312</v>
      </c>
    </row>
    <row r="97" spans="2:14" x14ac:dyDescent="0.35">
      <c r="B97" t="s">
        <v>681</v>
      </c>
      <c r="C97" t="s">
        <v>116</v>
      </c>
      <c r="D97" t="s">
        <v>815</v>
      </c>
      <c r="E97" t="s">
        <v>1292</v>
      </c>
      <c r="F97" t="s">
        <v>1289</v>
      </c>
      <c r="G97" t="s">
        <v>1400</v>
      </c>
      <c r="K97" s="54" t="s">
        <v>815</v>
      </c>
      <c r="L97" s="54" t="s">
        <v>676</v>
      </c>
      <c r="M97" s="54" t="s">
        <v>105</v>
      </c>
      <c r="N97" s="54" t="s">
        <v>1287</v>
      </c>
    </row>
    <row r="98" spans="2:14" x14ac:dyDescent="0.35">
      <c r="B98" t="s">
        <v>1083</v>
      </c>
      <c r="C98" t="s">
        <v>1346</v>
      </c>
      <c r="D98" t="s">
        <v>1219</v>
      </c>
      <c r="E98" t="s">
        <v>1305</v>
      </c>
      <c r="F98" t="s">
        <v>1305</v>
      </c>
      <c r="G98" t="s">
        <v>1400</v>
      </c>
      <c r="K98" s="54" t="s">
        <v>1394</v>
      </c>
      <c r="L98" s="54" t="s">
        <v>1448</v>
      </c>
      <c r="M98" s="54" t="s">
        <v>1366</v>
      </c>
      <c r="N98" s="54" t="s">
        <v>1296</v>
      </c>
    </row>
    <row r="99" spans="2:14" x14ac:dyDescent="0.35">
      <c r="B99" t="s">
        <v>521</v>
      </c>
      <c r="C99" t="s">
        <v>14</v>
      </c>
      <c r="D99" t="s">
        <v>1221</v>
      </c>
      <c r="E99" t="s">
        <v>1062</v>
      </c>
      <c r="F99" t="s">
        <v>1062</v>
      </c>
      <c r="G99" t="s">
        <v>1400</v>
      </c>
      <c r="K99" s="54" t="s">
        <v>976</v>
      </c>
      <c r="L99" s="54" t="s">
        <v>916</v>
      </c>
      <c r="M99" s="54" t="s">
        <v>917</v>
      </c>
      <c r="N99" s="54" t="s">
        <v>1062</v>
      </c>
    </row>
    <row r="100" spans="2:14" x14ac:dyDescent="0.35">
      <c r="B100" t="s">
        <v>1005</v>
      </c>
      <c r="C100" t="s">
        <v>14</v>
      </c>
      <c r="D100" t="s">
        <v>1221</v>
      </c>
      <c r="E100" t="s">
        <v>1062</v>
      </c>
      <c r="F100" t="s">
        <v>1062</v>
      </c>
      <c r="G100" t="s">
        <v>1400</v>
      </c>
      <c r="K100" s="54" t="s">
        <v>1225</v>
      </c>
      <c r="L100" s="54" t="s">
        <v>586</v>
      </c>
      <c r="M100" s="54" t="s">
        <v>86</v>
      </c>
      <c r="N100" s="54" t="s">
        <v>1062</v>
      </c>
    </row>
    <row r="101" spans="2:14" x14ac:dyDescent="0.35">
      <c r="B101" t="s">
        <v>750</v>
      </c>
      <c r="C101" t="s">
        <v>351</v>
      </c>
      <c r="D101" t="s">
        <v>837</v>
      </c>
      <c r="E101" t="s">
        <v>1297</v>
      </c>
      <c r="F101" t="s">
        <v>1297</v>
      </c>
      <c r="G101" t="s">
        <v>1395</v>
      </c>
      <c r="K101" s="54" t="s">
        <v>837</v>
      </c>
      <c r="L101" s="54" t="s">
        <v>768</v>
      </c>
      <c r="M101" s="54" t="s">
        <v>369</v>
      </c>
      <c r="N101" s="54" t="s">
        <v>1283</v>
      </c>
    </row>
    <row r="102" spans="2:14" x14ac:dyDescent="0.35">
      <c r="B102" t="s">
        <v>616</v>
      </c>
      <c r="C102" t="s">
        <v>74</v>
      </c>
      <c r="D102" t="s">
        <v>828</v>
      </c>
      <c r="E102" t="s">
        <v>1292</v>
      </c>
      <c r="F102" t="s">
        <v>1303</v>
      </c>
      <c r="G102" t="s">
        <v>1391</v>
      </c>
      <c r="K102" s="54" t="s">
        <v>832</v>
      </c>
      <c r="L102" s="54" t="s">
        <v>1008</v>
      </c>
      <c r="M102" s="54" t="s">
        <v>20</v>
      </c>
      <c r="N102" s="54" t="s">
        <v>1281</v>
      </c>
    </row>
    <row r="103" spans="2:14" x14ac:dyDescent="0.35">
      <c r="B103" t="s">
        <v>1417</v>
      </c>
      <c r="C103" t="s">
        <v>1347</v>
      </c>
      <c r="D103" t="s">
        <v>1394</v>
      </c>
      <c r="E103" t="s">
        <v>1294</v>
      </c>
      <c r="F103" t="s">
        <v>1294</v>
      </c>
      <c r="G103" t="s">
        <v>1391</v>
      </c>
      <c r="K103" s="54" t="s">
        <v>1219</v>
      </c>
      <c r="L103" s="54" t="s">
        <v>1143</v>
      </c>
      <c r="M103" s="54" t="s">
        <v>1207</v>
      </c>
      <c r="N103" s="54" t="s">
        <v>1296</v>
      </c>
    </row>
    <row r="104" spans="2:14" x14ac:dyDescent="0.35">
      <c r="B104" t="s">
        <v>1126</v>
      </c>
      <c r="C104" t="s">
        <v>1177</v>
      </c>
      <c r="D104" t="s">
        <v>1219</v>
      </c>
      <c r="E104" t="s">
        <v>1309</v>
      </c>
      <c r="F104" t="s">
        <v>1309</v>
      </c>
      <c r="G104" t="s">
        <v>1395</v>
      </c>
      <c r="K104" s="54" t="s">
        <v>1394</v>
      </c>
      <c r="L104" s="54" t="s">
        <v>1463</v>
      </c>
      <c r="M104" s="54" t="s">
        <v>1380</v>
      </c>
      <c r="N104" s="54" t="s">
        <v>1303</v>
      </c>
    </row>
    <row r="105" spans="2:14" x14ac:dyDescent="0.35">
      <c r="B105" t="s">
        <v>1418</v>
      </c>
      <c r="C105" t="s">
        <v>1348</v>
      </c>
      <c r="D105" t="s">
        <v>1394</v>
      </c>
      <c r="E105" t="s">
        <v>1302</v>
      </c>
      <c r="F105" t="s">
        <v>1302</v>
      </c>
      <c r="G105" t="s">
        <v>1391</v>
      </c>
      <c r="K105" s="54" t="s">
        <v>1394</v>
      </c>
      <c r="L105" s="54" t="s">
        <v>1456</v>
      </c>
      <c r="M105" s="54" t="s">
        <v>1373</v>
      </c>
      <c r="N105" s="54" t="s">
        <v>1288</v>
      </c>
    </row>
    <row r="106" spans="2:14" x14ac:dyDescent="0.35">
      <c r="B106" t="s">
        <v>609</v>
      </c>
      <c r="C106" t="s">
        <v>277</v>
      </c>
      <c r="D106" t="s">
        <v>828</v>
      </c>
      <c r="E106" t="s">
        <v>1312</v>
      </c>
      <c r="F106" t="s">
        <v>1312</v>
      </c>
      <c r="G106" t="s">
        <v>1395</v>
      </c>
      <c r="K106" s="54" t="s">
        <v>1394</v>
      </c>
      <c r="L106" s="54" t="s">
        <v>1403</v>
      </c>
      <c r="M106" s="54" t="s">
        <v>1340</v>
      </c>
      <c r="N106" s="54" t="s">
        <v>1404</v>
      </c>
    </row>
    <row r="107" spans="2:14" x14ac:dyDescent="0.35">
      <c r="B107" t="s">
        <v>1116</v>
      </c>
      <c r="C107" t="s">
        <v>1197</v>
      </c>
      <c r="D107" t="s">
        <v>1219</v>
      </c>
      <c r="E107" t="s">
        <v>1296</v>
      </c>
      <c r="F107" t="s">
        <v>1296</v>
      </c>
      <c r="G107" t="s">
        <v>1391</v>
      </c>
      <c r="K107" s="54" t="s">
        <v>1394</v>
      </c>
      <c r="L107" s="54" t="s">
        <v>1442</v>
      </c>
      <c r="M107" s="54" t="s">
        <v>1362</v>
      </c>
      <c r="N107" s="54" t="s">
        <v>1283</v>
      </c>
    </row>
    <row r="108" spans="2:14" x14ac:dyDescent="0.35">
      <c r="B108" t="s">
        <v>1224</v>
      </c>
      <c r="C108" t="s">
        <v>352</v>
      </c>
      <c r="D108" t="s">
        <v>837</v>
      </c>
      <c r="E108" t="s">
        <v>1060</v>
      </c>
      <c r="F108" t="s">
        <v>1297</v>
      </c>
      <c r="G108" t="s">
        <v>1395</v>
      </c>
      <c r="K108" s="54" t="s">
        <v>1394</v>
      </c>
      <c r="L108" s="54" t="s">
        <v>1468</v>
      </c>
      <c r="M108" s="54" t="s">
        <v>1383</v>
      </c>
      <c r="N108" s="54" t="s">
        <v>1287</v>
      </c>
    </row>
    <row r="109" spans="2:14" x14ac:dyDescent="0.35">
      <c r="B109" t="s">
        <v>1270</v>
      </c>
      <c r="C109" t="s">
        <v>352</v>
      </c>
      <c r="D109" t="s">
        <v>837</v>
      </c>
      <c r="E109" t="s">
        <v>1060</v>
      </c>
      <c r="F109" t="s">
        <v>1297</v>
      </c>
      <c r="G109" t="s">
        <v>1395</v>
      </c>
      <c r="K109" s="54" t="s">
        <v>810</v>
      </c>
      <c r="L109" s="54" t="s">
        <v>669</v>
      </c>
      <c r="M109" s="54" t="s">
        <v>87</v>
      </c>
      <c r="N109" s="54" t="s">
        <v>1450</v>
      </c>
    </row>
    <row r="110" spans="2:14" x14ac:dyDescent="0.35">
      <c r="B110" t="s">
        <v>1242</v>
      </c>
      <c r="C110" t="s">
        <v>352</v>
      </c>
      <c r="D110" t="s">
        <v>837</v>
      </c>
      <c r="E110" t="s">
        <v>1060</v>
      </c>
      <c r="F110" t="s">
        <v>1297</v>
      </c>
      <c r="G110" t="s">
        <v>1395</v>
      </c>
      <c r="K110" s="54" t="s">
        <v>1061</v>
      </c>
      <c r="L110" s="54" t="s">
        <v>557</v>
      </c>
      <c r="M110" s="54" t="s">
        <v>262</v>
      </c>
      <c r="N110" s="54" t="s">
        <v>1289</v>
      </c>
    </row>
    <row r="111" spans="2:14" x14ac:dyDescent="0.35">
      <c r="B111" t="s">
        <v>1227</v>
      </c>
      <c r="C111" t="s">
        <v>352</v>
      </c>
      <c r="D111" t="s">
        <v>837</v>
      </c>
      <c r="E111" t="s">
        <v>1060</v>
      </c>
      <c r="F111" t="s">
        <v>1297</v>
      </c>
      <c r="G111" t="s">
        <v>1395</v>
      </c>
      <c r="K111" s="54" t="s">
        <v>976</v>
      </c>
      <c r="L111" s="54" t="s">
        <v>914</v>
      </c>
      <c r="M111" s="54" t="s">
        <v>915</v>
      </c>
      <c r="N111" s="54" t="s">
        <v>1294</v>
      </c>
    </row>
    <row r="112" spans="2:14" x14ac:dyDescent="0.35">
      <c r="B112" t="s">
        <v>1249</v>
      </c>
      <c r="C112" t="s">
        <v>352</v>
      </c>
      <c r="D112" t="s">
        <v>837</v>
      </c>
      <c r="E112" t="s">
        <v>1060</v>
      </c>
      <c r="F112" t="s">
        <v>1297</v>
      </c>
      <c r="G112" t="s">
        <v>1395</v>
      </c>
      <c r="K112" s="54" t="s">
        <v>1219</v>
      </c>
      <c r="L112" s="54" t="s">
        <v>1138</v>
      </c>
      <c r="M112" s="54" t="s">
        <v>1174</v>
      </c>
      <c r="N112" s="54" t="s">
        <v>1287</v>
      </c>
    </row>
    <row r="113" spans="2:14" x14ac:dyDescent="0.35">
      <c r="B113" t="s">
        <v>1244</v>
      </c>
      <c r="C113" t="s">
        <v>352</v>
      </c>
      <c r="D113" t="s">
        <v>837</v>
      </c>
      <c r="E113" t="s">
        <v>1060</v>
      </c>
      <c r="F113" t="s">
        <v>1297</v>
      </c>
      <c r="G113" t="s">
        <v>1395</v>
      </c>
      <c r="K113" s="54" t="s">
        <v>822</v>
      </c>
      <c r="L113" s="54" t="s">
        <v>688</v>
      </c>
      <c r="M113" s="54" t="s">
        <v>127</v>
      </c>
      <c r="N113" s="54" t="s">
        <v>1283</v>
      </c>
    </row>
    <row r="114" spans="2:14" x14ac:dyDescent="0.35">
      <c r="B114" t="s">
        <v>1252</v>
      </c>
      <c r="C114" t="s">
        <v>352</v>
      </c>
      <c r="D114" t="s">
        <v>837</v>
      </c>
      <c r="E114" t="s">
        <v>1060</v>
      </c>
      <c r="F114" t="s">
        <v>1297</v>
      </c>
      <c r="G114" t="s">
        <v>1395</v>
      </c>
      <c r="K114" s="54" t="s">
        <v>837</v>
      </c>
      <c r="L114" s="54" t="s">
        <v>765</v>
      </c>
      <c r="M114" s="54" t="s">
        <v>366</v>
      </c>
      <c r="N114" s="54" t="s">
        <v>1297</v>
      </c>
    </row>
    <row r="115" spans="2:14" x14ac:dyDescent="0.35">
      <c r="B115" t="s">
        <v>1255</v>
      </c>
      <c r="C115" t="s">
        <v>352</v>
      </c>
      <c r="D115" t="s">
        <v>837</v>
      </c>
      <c r="E115" t="s">
        <v>1060</v>
      </c>
      <c r="F115" t="s">
        <v>1297</v>
      </c>
      <c r="G115" t="s">
        <v>1395</v>
      </c>
      <c r="K115" s="54" t="s">
        <v>1394</v>
      </c>
      <c r="L115" s="54" t="s">
        <v>1418</v>
      </c>
      <c r="M115" s="54" t="s">
        <v>1348</v>
      </c>
      <c r="N115" s="54" t="s">
        <v>1302</v>
      </c>
    </row>
    <row r="116" spans="2:14" x14ac:dyDescent="0.35">
      <c r="B116" t="s">
        <v>1261</v>
      </c>
      <c r="C116" t="s">
        <v>352</v>
      </c>
      <c r="D116" t="s">
        <v>837</v>
      </c>
      <c r="E116" t="s">
        <v>1060</v>
      </c>
      <c r="F116" t="s">
        <v>1297</v>
      </c>
      <c r="G116" t="s">
        <v>1395</v>
      </c>
      <c r="K116" s="54" t="s">
        <v>1219</v>
      </c>
      <c r="L116" s="54" t="s">
        <v>1124</v>
      </c>
      <c r="M116" s="54" t="s">
        <v>1178</v>
      </c>
      <c r="N116" s="54" t="s">
        <v>1308</v>
      </c>
    </row>
    <row r="117" spans="2:14" x14ac:dyDescent="0.35">
      <c r="B117" t="s">
        <v>1247</v>
      </c>
      <c r="C117" t="s">
        <v>352</v>
      </c>
      <c r="D117" t="s">
        <v>837</v>
      </c>
      <c r="E117" t="s">
        <v>1060</v>
      </c>
      <c r="F117" t="s">
        <v>1297</v>
      </c>
      <c r="G117" t="s">
        <v>1395</v>
      </c>
      <c r="K117" s="54" t="s">
        <v>1394</v>
      </c>
      <c r="L117" s="54" t="s">
        <v>1467</v>
      </c>
      <c r="M117" s="54" t="s">
        <v>1382</v>
      </c>
      <c r="N117" s="54" t="s">
        <v>1316</v>
      </c>
    </row>
    <row r="118" spans="2:14" x14ac:dyDescent="0.35">
      <c r="B118" t="s">
        <v>896</v>
      </c>
      <c r="C118" t="s">
        <v>897</v>
      </c>
      <c r="D118" t="s">
        <v>976</v>
      </c>
      <c r="E118" t="s">
        <v>1302</v>
      </c>
      <c r="F118" t="s">
        <v>1302</v>
      </c>
      <c r="G118" t="s">
        <v>1391</v>
      </c>
      <c r="K118" s="54" t="s">
        <v>822</v>
      </c>
      <c r="L118" s="54" t="s">
        <v>684</v>
      </c>
      <c r="M118" s="54" t="s">
        <v>120</v>
      </c>
      <c r="N118" s="54" t="s">
        <v>1283</v>
      </c>
    </row>
    <row r="119" spans="2:14" x14ac:dyDescent="0.35">
      <c r="B119" t="s">
        <v>753</v>
      </c>
      <c r="C119" t="s">
        <v>354</v>
      </c>
      <c r="D119" t="s">
        <v>841</v>
      </c>
      <c r="E119" t="s">
        <v>1319</v>
      </c>
      <c r="F119" t="s">
        <v>1293</v>
      </c>
      <c r="G119" t="s">
        <v>1398</v>
      </c>
      <c r="K119" s="54" t="s">
        <v>1394</v>
      </c>
      <c r="L119" s="54" t="s">
        <v>1460</v>
      </c>
      <c r="M119" s="54" t="s">
        <v>1377</v>
      </c>
      <c r="N119" s="54" t="s">
        <v>1306</v>
      </c>
    </row>
    <row r="120" spans="2:14" x14ac:dyDescent="0.35">
      <c r="B120" t="s">
        <v>1419</v>
      </c>
      <c r="C120" t="s">
        <v>1349</v>
      </c>
      <c r="D120" t="s">
        <v>1394</v>
      </c>
      <c r="E120" t="s">
        <v>1311</v>
      </c>
      <c r="F120" t="s">
        <v>1311</v>
      </c>
      <c r="G120" t="s">
        <v>1398</v>
      </c>
      <c r="K120" s="54" t="s">
        <v>815</v>
      </c>
      <c r="L120" s="54" t="s">
        <v>716</v>
      </c>
      <c r="M120" s="54" t="s">
        <v>201</v>
      </c>
      <c r="N120" s="54" t="s">
        <v>1293</v>
      </c>
    </row>
    <row r="121" spans="2:14" x14ac:dyDescent="0.35">
      <c r="B121" t="s">
        <v>898</v>
      </c>
      <c r="C121" t="s">
        <v>899</v>
      </c>
      <c r="D121" t="s">
        <v>976</v>
      </c>
      <c r="E121" t="s">
        <v>1283</v>
      </c>
      <c r="F121" t="s">
        <v>1283</v>
      </c>
      <c r="G121" t="s">
        <v>1391</v>
      </c>
      <c r="K121" s="54" t="s">
        <v>826</v>
      </c>
      <c r="L121" s="54" t="s">
        <v>625</v>
      </c>
      <c r="M121" s="54" t="s">
        <v>51</v>
      </c>
      <c r="N121" s="54" t="s">
        <v>1287</v>
      </c>
    </row>
    <row r="122" spans="2:14" x14ac:dyDescent="0.35">
      <c r="B122" t="s">
        <v>1107</v>
      </c>
      <c r="C122" t="s">
        <v>1168</v>
      </c>
      <c r="D122" t="s">
        <v>1219</v>
      </c>
      <c r="E122" t="s">
        <v>1317</v>
      </c>
      <c r="F122" t="s">
        <v>1317</v>
      </c>
      <c r="G122" t="s">
        <v>1395</v>
      </c>
      <c r="K122" s="54" t="s">
        <v>822</v>
      </c>
      <c r="L122" s="54" t="s">
        <v>652</v>
      </c>
      <c r="M122" s="54" t="s">
        <v>35</v>
      </c>
      <c r="N122" s="54" t="s">
        <v>1289</v>
      </c>
    </row>
    <row r="123" spans="2:14" x14ac:dyDescent="0.35">
      <c r="B123" t="s">
        <v>435</v>
      </c>
      <c r="C123" t="s">
        <v>56</v>
      </c>
      <c r="D123" t="s">
        <v>1061</v>
      </c>
      <c r="E123" t="s">
        <v>1060</v>
      </c>
      <c r="F123" t="s">
        <v>1297</v>
      </c>
      <c r="G123" t="s">
        <v>1395</v>
      </c>
      <c r="K123" s="54" t="s">
        <v>1394</v>
      </c>
      <c r="L123" s="54" t="s">
        <v>1461</v>
      </c>
      <c r="M123" s="54" t="s">
        <v>1378</v>
      </c>
      <c r="N123" s="54" t="s">
        <v>1307</v>
      </c>
    </row>
    <row r="124" spans="2:14" x14ac:dyDescent="0.35">
      <c r="B124" t="s">
        <v>902</v>
      </c>
      <c r="C124" t="s">
        <v>903</v>
      </c>
      <c r="D124" t="s">
        <v>976</v>
      </c>
      <c r="E124" t="s">
        <v>1300</v>
      </c>
      <c r="F124" t="s">
        <v>1300</v>
      </c>
      <c r="G124" t="s">
        <v>1391</v>
      </c>
      <c r="K124" s="54" t="s">
        <v>976</v>
      </c>
      <c r="L124" s="54" t="s">
        <v>896</v>
      </c>
      <c r="M124" s="54" t="s">
        <v>897</v>
      </c>
      <c r="N124" s="54" t="s">
        <v>1302</v>
      </c>
    </row>
    <row r="125" spans="2:14" x14ac:dyDescent="0.35">
      <c r="B125" t="s">
        <v>1420</v>
      </c>
      <c r="C125" t="s">
        <v>1350</v>
      </c>
      <c r="D125" t="s">
        <v>1394</v>
      </c>
      <c r="E125" t="s">
        <v>1289</v>
      </c>
      <c r="F125" t="s">
        <v>1289</v>
      </c>
      <c r="G125" t="s">
        <v>1391</v>
      </c>
      <c r="K125" s="54" t="s">
        <v>1061</v>
      </c>
      <c r="L125" s="54" t="s">
        <v>675</v>
      </c>
      <c r="M125" s="54" t="s">
        <v>104</v>
      </c>
      <c r="N125" s="54" t="s">
        <v>1297</v>
      </c>
    </row>
    <row r="126" spans="2:14" x14ac:dyDescent="0.35">
      <c r="B126" t="s">
        <v>700</v>
      </c>
      <c r="C126" t="s">
        <v>1421</v>
      </c>
      <c r="D126" t="s">
        <v>810</v>
      </c>
      <c r="E126" t="s">
        <v>1300</v>
      </c>
      <c r="F126" t="s">
        <v>1300</v>
      </c>
      <c r="G126" t="s">
        <v>1391</v>
      </c>
      <c r="K126" s="54" t="s">
        <v>1394</v>
      </c>
      <c r="L126" s="54" t="s">
        <v>1443</v>
      </c>
      <c r="M126" s="54" t="s">
        <v>1363</v>
      </c>
      <c r="N126" s="54" t="s">
        <v>1318</v>
      </c>
    </row>
    <row r="127" spans="2:14" x14ac:dyDescent="0.35">
      <c r="B127" t="s">
        <v>1080</v>
      </c>
      <c r="C127" t="s">
        <v>1184</v>
      </c>
      <c r="D127" t="s">
        <v>976</v>
      </c>
      <c r="E127" t="s">
        <v>1287</v>
      </c>
      <c r="F127" t="s">
        <v>1287</v>
      </c>
      <c r="G127" t="s">
        <v>1398</v>
      </c>
      <c r="K127" s="54" t="s">
        <v>810</v>
      </c>
      <c r="L127" s="54" t="s">
        <v>700</v>
      </c>
      <c r="M127" s="54" t="s">
        <v>151</v>
      </c>
      <c r="N127" s="54" t="s">
        <v>1300</v>
      </c>
    </row>
    <row r="128" spans="2:14" x14ac:dyDescent="0.35">
      <c r="B128" t="s">
        <v>1422</v>
      </c>
      <c r="C128" t="s">
        <v>1385</v>
      </c>
      <c r="D128" t="s">
        <v>1394</v>
      </c>
      <c r="E128" t="s">
        <v>1297</v>
      </c>
      <c r="F128" t="s">
        <v>1297</v>
      </c>
      <c r="G128" t="s">
        <v>1395</v>
      </c>
      <c r="K128" s="54" t="s">
        <v>821</v>
      </c>
      <c r="L128" s="54" t="s">
        <v>635</v>
      </c>
      <c r="M128" s="54" t="s">
        <v>125</v>
      </c>
      <c r="N128" s="54" t="s">
        <v>1312</v>
      </c>
    </row>
    <row r="129" spans="2:14" x14ac:dyDescent="0.35">
      <c r="B129" t="s">
        <v>1119</v>
      </c>
      <c r="C129" t="s">
        <v>1162</v>
      </c>
      <c r="D129" t="s">
        <v>1219</v>
      </c>
      <c r="E129" t="s">
        <v>1307</v>
      </c>
      <c r="F129" t="s">
        <v>1307</v>
      </c>
      <c r="G129" t="s">
        <v>1391</v>
      </c>
      <c r="K129" s="54" t="s">
        <v>837</v>
      </c>
      <c r="L129" s="54" t="s">
        <v>1072</v>
      </c>
      <c r="M129" s="54" t="s">
        <v>381</v>
      </c>
      <c r="N129" s="54" t="s">
        <v>1297</v>
      </c>
    </row>
    <row r="130" spans="2:14" x14ac:dyDescent="0.35">
      <c r="B130" t="s">
        <v>1098</v>
      </c>
      <c r="C130" t="s">
        <v>1169</v>
      </c>
      <c r="D130" t="s">
        <v>1219</v>
      </c>
      <c r="E130" t="s">
        <v>1288</v>
      </c>
      <c r="F130" t="s">
        <v>1288</v>
      </c>
      <c r="G130" t="s">
        <v>1398</v>
      </c>
      <c r="K130" s="54" t="s">
        <v>813</v>
      </c>
      <c r="L130" s="54" t="s">
        <v>466</v>
      </c>
      <c r="M130" s="54" t="s">
        <v>121</v>
      </c>
      <c r="N130" s="54" t="s">
        <v>1409</v>
      </c>
    </row>
    <row r="131" spans="2:14" x14ac:dyDescent="0.35">
      <c r="B131" t="s">
        <v>518</v>
      </c>
      <c r="C131" t="s">
        <v>178</v>
      </c>
      <c r="D131" t="s">
        <v>834</v>
      </c>
      <c r="E131" t="s">
        <v>1292</v>
      </c>
      <c r="F131" t="s">
        <v>1294</v>
      </c>
      <c r="G131" t="s">
        <v>1391</v>
      </c>
      <c r="K131" s="54" t="s">
        <v>1394</v>
      </c>
      <c r="L131" s="54" t="s">
        <v>1422</v>
      </c>
      <c r="M131" s="54" t="s">
        <v>1385</v>
      </c>
      <c r="N131" s="54" t="s">
        <v>1297</v>
      </c>
    </row>
    <row r="132" spans="2:14" x14ac:dyDescent="0.35">
      <c r="B132" t="s">
        <v>1423</v>
      </c>
      <c r="C132" t="s">
        <v>1351</v>
      </c>
      <c r="D132" t="s">
        <v>1394</v>
      </c>
      <c r="E132" t="s">
        <v>1282</v>
      </c>
      <c r="F132" t="s">
        <v>1282</v>
      </c>
      <c r="G132" t="s">
        <v>1391</v>
      </c>
      <c r="K132" s="54" t="s">
        <v>1219</v>
      </c>
      <c r="L132" s="54" t="s">
        <v>1090</v>
      </c>
      <c r="M132" s="54" t="s">
        <v>1208</v>
      </c>
      <c r="N132" s="54" t="s">
        <v>1282</v>
      </c>
    </row>
    <row r="133" spans="2:14" x14ac:dyDescent="0.35">
      <c r="B133" t="s">
        <v>393</v>
      </c>
      <c r="C133" t="s">
        <v>43</v>
      </c>
      <c r="D133" t="s">
        <v>1061</v>
      </c>
      <c r="E133" t="s">
        <v>1060</v>
      </c>
      <c r="F133" t="s">
        <v>1407</v>
      </c>
      <c r="G133" t="s">
        <v>1395</v>
      </c>
      <c r="K133" s="54" t="s">
        <v>1394</v>
      </c>
      <c r="L133" s="54" t="s">
        <v>1474</v>
      </c>
      <c r="M133" s="54" t="s">
        <v>1387</v>
      </c>
      <c r="N133" s="54" t="s">
        <v>1297</v>
      </c>
    </row>
    <row r="134" spans="2:14" x14ac:dyDescent="0.35">
      <c r="B134" t="s">
        <v>442</v>
      </c>
      <c r="C134" t="s">
        <v>45</v>
      </c>
      <c r="D134" t="s">
        <v>817</v>
      </c>
      <c r="E134" t="s">
        <v>1290</v>
      </c>
      <c r="F134" t="s">
        <v>1292</v>
      </c>
      <c r="G134" t="s">
        <v>1391</v>
      </c>
      <c r="K134" s="54" t="s">
        <v>1219</v>
      </c>
      <c r="L134" s="54" t="s">
        <v>1134</v>
      </c>
      <c r="M134" s="54" t="s">
        <v>1190</v>
      </c>
      <c r="N134" s="54" t="s">
        <v>1300</v>
      </c>
    </row>
    <row r="135" spans="2:14" x14ac:dyDescent="0.35">
      <c r="B135" t="s">
        <v>1106</v>
      </c>
      <c r="C135" t="s">
        <v>1156</v>
      </c>
      <c r="D135" t="s">
        <v>1219</v>
      </c>
      <c r="E135" t="s">
        <v>1283</v>
      </c>
      <c r="F135" t="s">
        <v>1283</v>
      </c>
      <c r="G135" t="s">
        <v>1391</v>
      </c>
      <c r="K135" s="54" t="s">
        <v>1219</v>
      </c>
      <c r="L135" s="54" t="s">
        <v>1135</v>
      </c>
      <c r="M135" s="54" t="s">
        <v>1181</v>
      </c>
      <c r="N135" s="54" t="s">
        <v>1288</v>
      </c>
    </row>
    <row r="136" spans="2:14" x14ac:dyDescent="0.35">
      <c r="B136" t="s">
        <v>1424</v>
      </c>
      <c r="C136" t="s">
        <v>1352</v>
      </c>
      <c r="D136" t="s">
        <v>1394</v>
      </c>
      <c r="E136" t="s">
        <v>1318</v>
      </c>
      <c r="F136" t="s">
        <v>1318</v>
      </c>
      <c r="G136" t="s">
        <v>1395</v>
      </c>
      <c r="K136" s="54" t="s">
        <v>1394</v>
      </c>
      <c r="L136" s="54" t="s">
        <v>1419</v>
      </c>
      <c r="M136" s="54" t="s">
        <v>1349</v>
      </c>
      <c r="N136" s="54" t="s">
        <v>1311</v>
      </c>
    </row>
    <row r="137" spans="2:14" x14ac:dyDescent="0.35">
      <c r="B137" t="s">
        <v>391</v>
      </c>
      <c r="C137" t="s">
        <v>22</v>
      </c>
      <c r="D137" t="s">
        <v>1061</v>
      </c>
      <c r="E137" t="s">
        <v>1280</v>
      </c>
      <c r="F137" t="s">
        <v>1407</v>
      </c>
      <c r="G137" t="s">
        <v>1398</v>
      </c>
      <c r="K137" s="54" t="s">
        <v>813</v>
      </c>
      <c r="L137" s="54" t="s">
        <v>484</v>
      </c>
      <c r="M137" s="54" t="s">
        <v>179</v>
      </c>
      <c r="N137" s="54" t="s">
        <v>1396</v>
      </c>
    </row>
    <row r="138" spans="2:14" x14ac:dyDescent="0.35">
      <c r="B138" t="s">
        <v>675</v>
      </c>
      <c r="C138" t="s">
        <v>104</v>
      </c>
      <c r="D138" t="s">
        <v>1061</v>
      </c>
      <c r="E138" t="s">
        <v>1298</v>
      </c>
      <c r="F138" t="s">
        <v>1297</v>
      </c>
      <c r="G138" t="s">
        <v>1395</v>
      </c>
      <c r="K138" s="54" t="s">
        <v>974</v>
      </c>
      <c r="L138" s="54" t="s">
        <v>865</v>
      </c>
      <c r="M138" s="54" t="s">
        <v>866</v>
      </c>
      <c r="N138" s="54" t="s">
        <v>1296</v>
      </c>
    </row>
    <row r="139" spans="2:14" x14ac:dyDescent="0.35">
      <c r="B139" t="s">
        <v>985</v>
      </c>
      <c r="C139" t="s">
        <v>1222</v>
      </c>
      <c r="D139" t="s">
        <v>1061</v>
      </c>
      <c r="E139" t="s">
        <v>1285</v>
      </c>
      <c r="F139" t="s">
        <v>1289</v>
      </c>
      <c r="G139" t="s">
        <v>1391</v>
      </c>
      <c r="K139" s="54" t="s">
        <v>976</v>
      </c>
      <c r="L139" s="54" t="s">
        <v>922</v>
      </c>
      <c r="M139" s="54" t="s">
        <v>923</v>
      </c>
      <c r="N139" s="54" t="s">
        <v>1310</v>
      </c>
    </row>
    <row r="140" spans="2:14" x14ac:dyDescent="0.35">
      <c r="B140" t="s">
        <v>1138</v>
      </c>
      <c r="C140" t="s">
        <v>1174</v>
      </c>
      <c r="D140" t="s">
        <v>1219</v>
      </c>
      <c r="E140" t="s">
        <v>1287</v>
      </c>
      <c r="F140" t="s">
        <v>1287</v>
      </c>
      <c r="G140" t="s">
        <v>1398</v>
      </c>
      <c r="K140" s="54" t="s">
        <v>976</v>
      </c>
      <c r="L140" s="54" t="s">
        <v>863</v>
      </c>
      <c r="M140" s="54" t="s">
        <v>864</v>
      </c>
      <c r="N140" s="54" t="s">
        <v>1297</v>
      </c>
    </row>
    <row r="141" spans="2:14" x14ac:dyDescent="0.35">
      <c r="B141" t="s">
        <v>571</v>
      </c>
      <c r="C141" t="s">
        <v>1230</v>
      </c>
      <c r="D141" t="s">
        <v>1223</v>
      </c>
      <c r="E141" t="s">
        <v>1288</v>
      </c>
      <c r="F141" t="s">
        <v>1288</v>
      </c>
      <c r="G141" t="s">
        <v>1398</v>
      </c>
      <c r="K141" s="54" t="s">
        <v>1061</v>
      </c>
      <c r="L141" s="54" t="s">
        <v>483</v>
      </c>
      <c r="M141" s="54" t="s">
        <v>107</v>
      </c>
      <c r="N141" s="54" t="s">
        <v>1294</v>
      </c>
    </row>
    <row r="142" spans="2:14" x14ac:dyDescent="0.35">
      <c r="B142" t="s">
        <v>754</v>
      </c>
      <c r="C142" t="s">
        <v>355</v>
      </c>
      <c r="D142" t="s">
        <v>837</v>
      </c>
      <c r="E142" t="s">
        <v>1289</v>
      </c>
      <c r="F142" t="s">
        <v>1289</v>
      </c>
      <c r="G142" t="s">
        <v>1391</v>
      </c>
      <c r="K142" s="54" t="s">
        <v>976</v>
      </c>
      <c r="L142" s="54" t="s">
        <v>924</v>
      </c>
      <c r="M142" s="54" t="s">
        <v>925</v>
      </c>
      <c r="N142" s="54" t="s">
        <v>1293</v>
      </c>
    </row>
    <row r="143" spans="2:14" x14ac:dyDescent="0.35">
      <c r="B143" t="s">
        <v>701</v>
      </c>
      <c r="C143" t="s">
        <v>154</v>
      </c>
      <c r="D143" t="s">
        <v>819</v>
      </c>
      <c r="E143" t="s">
        <v>1300</v>
      </c>
      <c r="F143" t="s">
        <v>1300</v>
      </c>
      <c r="G143" t="s">
        <v>1391</v>
      </c>
      <c r="K143" s="54" t="s">
        <v>817</v>
      </c>
      <c r="L143" s="54" t="s">
        <v>441</v>
      </c>
      <c r="M143" s="54" t="s">
        <v>32</v>
      </c>
      <c r="N143" s="54" t="s">
        <v>1469</v>
      </c>
    </row>
    <row r="144" spans="2:14" x14ac:dyDescent="0.35">
      <c r="B144" t="s">
        <v>559</v>
      </c>
      <c r="C144" t="s">
        <v>40</v>
      </c>
      <c r="D144" t="s">
        <v>1223</v>
      </c>
      <c r="E144" t="s">
        <v>1284</v>
      </c>
      <c r="F144" t="s">
        <v>1294</v>
      </c>
      <c r="G144" t="s">
        <v>1391</v>
      </c>
      <c r="K144" s="54" t="s">
        <v>841</v>
      </c>
      <c r="L144" s="54" t="s">
        <v>753</v>
      </c>
      <c r="M144" s="54" t="s">
        <v>354</v>
      </c>
      <c r="N144" s="54" t="s">
        <v>1293</v>
      </c>
    </row>
    <row r="145" spans="2:14" x14ac:dyDescent="0.35">
      <c r="B145" t="s">
        <v>446</v>
      </c>
      <c r="C145" t="s">
        <v>12</v>
      </c>
      <c r="D145" t="s">
        <v>1061</v>
      </c>
      <c r="E145" t="s">
        <v>1060</v>
      </c>
      <c r="F145" t="s">
        <v>1396</v>
      </c>
      <c r="G145" t="s">
        <v>1395</v>
      </c>
      <c r="K145" s="54" t="s">
        <v>1219</v>
      </c>
      <c r="L145" s="54" t="s">
        <v>1116</v>
      </c>
      <c r="M145" s="54" t="s">
        <v>1197</v>
      </c>
      <c r="N145" s="54" t="s">
        <v>1296</v>
      </c>
    </row>
    <row r="146" spans="2:14" x14ac:dyDescent="0.35">
      <c r="B146" t="s">
        <v>600</v>
      </c>
      <c r="C146" t="s">
        <v>182</v>
      </c>
      <c r="D146" t="s">
        <v>825</v>
      </c>
      <c r="E146" t="s">
        <v>1291</v>
      </c>
      <c r="F146" t="s">
        <v>1293</v>
      </c>
      <c r="G146" t="s">
        <v>1398</v>
      </c>
      <c r="K146" s="54" t="s">
        <v>837</v>
      </c>
      <c r="L146" s="54" t="s">
        <v>754</v>
      </c>
      <c r="M146" s="54" t="s">
        <v>355</v>
      </c>
      <c r="N146" s="54" t="s">
        <v>1289</v>
      </c>
    </row>
    <row r="147" spans="2:14" x14ac:dyDescent="0.35">
      <c r="B147" t="s">
        <v>1092</v>
      </c>
      <c r="C147" t="s">
        <v>1176</v>
      </c>
      <c r="D147" t="s">
        <v>1219</v>
      </c>
      <c r="E147" t="s">
        <v>1303</v>
      </c>
      <c r="F147" t="s">
        <v>1303</v>
      </c>
      <c r="G147" t="s">
        <v>1391</v>
      </c>
      <c r="K147" s="54" t="s">
        <v>810</v>
      </c>
      <c r="L147" s="54" t="s">
        <v>698</v>
      </c>
      <c r="M147" s="54" t="s">
        <v>146</v>
      </c>
      <c r="N147" s="54" t="s">
        <v>1294</v>
      </c>
    </row>
    <row r="148" spans="2:14" x14ac:dyDescent="0.35">
      <c r="B148" t="s">
        <v>1148</v>
      </c>
      <c r="C148" t="s">
        <v>108</v>
      </c>
      <c r="D148" t="s">
        <v>1061</v>
      </c>
      <c r="E148" t="s">
        <v>1280</v>
      </c>
      <c r="F148" t="s">
        <v>1312</v>
      </c>
      <c r="G148" t="s">
        <v>1395</v>
      </c>
      <c r="K148" s="54" t="s">
        <v>837</v>
      </c>
      <c r="L148" s="54" t="s">
        <v>760</v>
      </c>
      <c r="M148" s="54" t="s">
        <v>361</v>
      </c>
      <c r="N148" s="54" t="s">
        <v>1288</v>
      </c>
    </row>
    <row r="149" spans="2:14" x14ac:dyDescent="0.35">
      <c r="B149" t="s">
        <v>1043</v>
      </c>
      <c r="C149" t="s">
        <v>108</v>
      </c>
      <c r="D149" t="s">
        <v>1061</v>
      </c>
      <c r="E149" t="s">
        <v>1280</v>
      </c>
      <c r="F149" t="s">
        <v>1312</v>
      </c>
      <c r="G149" t="s">
        <v>1395</v>
      </c>
      <c r="K149" s="54" t="s">
        <v>1394</v>
      </c>
      <c r="L149" s="54" t="s">
        <v>1453</v>
      </c>
      <c r="M149" s="54" t="s">
        <v>1371</v>
      </c>
      <c r="N149" s="54" t="s">
        <v>1300</v>
      </c>
    </row>
    <row r="150" spans="2:14" x14ac:dyDescent="0.35">
      <c r="B150" t="s">
        <v>611</v>
      </c>
      <c r="C150" t="s">
        <v>108</v>
      </c>
      <c r="D150" t="s">
        <v>828</v>
      </c>
      <c r="E150" t="s">
        <v>1280</v>
      </c>
      <c r="F150" t="s">
        <v>1312</v>
      </c>
      <c r="G150" t="s">
        <v>1395</v>
      </c>
      <c r="K150" s="54" t="s">
        <v>1394</v>
      </c>
      <c r="L150" s="54" t="s">
        <v>1401</v>
      </c>
      <c r="M150" s="54" t="s">
        <v>1339</v>
      </c>
      <c r="N150" s="54" t="s">
        <v>1297</v>
      </c>
    </row>
    <row r="151" spans="2:14" x14ac:dyDescent="0.35">
      <c r="B151" t="s">
        <v>634</v>
      </c>
      <c r="C151" t="s">
        <v>94</v>
      </c>
      <c r="D151" t="s">
        <v>821</v>
      </c>
      <c r="E151" t="s">
        <v>1287</v>
      </c>
      <c r="F151" t="s">
        <v>1287</v>
      </c>
      <c r="G151" t="s">
        <v>1398</v>
      </c>
      <c r="K151" s="54" t="s">
        <v>1219</v>
      </c>
      <c r="L151" s="54" t="s">
        <v>1112</v>
      </c>
      <c r="M151" s="54" t="s">
        <v>1198</v>
      </c>
      <c r="N151" s="54" t="s">
        <v>1300</v>
      </c>
    </row>
    <row r="152" spans="2:14" x14ac:dyDescent="0.35">
      <c r="B152" t="s">
        <v>433</v>
      </c>
      <c r="C152" t="s">
        <v>81</v>
      </c>
      <c r="D152" t="s">
        <v>1061</v>
      </c>
      <c r="E152" t="s">
        <v>1298</v>
      </c>
      <c r="F152" t="s">
        <v>1297</v>
      </c>
      <c r="G152" t="s">
        <v>1395</v>
      </c>
      <c r="K152" s="54" t="s">
        <v>833</v>
      </c>
      <c r="L152" s="54" t="s">
        <v>563</v>
      </c>
      <c r="M152" s="54" t="s">
        <v>165</v>
      </c>
      <c r="N152" s="54" t="s">
        <v>1396</v>
      </c>
    </row>
    <row r="153" spans="2:14" x14ac:dyDescent="0.35">
      <c r="B153" t="s">
        <v>599</v>
      </c>
      <c r="C153" t="s">
        <v>1239</v>
      </c>
      <c r="D153" t="s">
        <v>825</v>
      </c>
      <c r="E153" t="s">
        <v>1291</v>
      </c>
      <c r="F153" t="s">
        <v>1297</v>
      </c>
      <c r="G153" t="s">
        <v>1398</v>
      </c>
      <c r="K153" s="54" t="s">
        <v>1394</v>
      </c>
      <c r="L153" s="54" t="s">
        <v>1440</v>
      </c>
      <c r="M153" s="54" t="s">
        <v>1360</v>
      </c>
      <c r="N153" s="54" t="s">
        <v>1317</v>
      </c>
    </row>
    <row r="154" spans="2:14" x14ac:dyDescent="0.35">
      <c r="B154" t="s">
        <v>1099</v>
      </c>
      <c r="C154" t="s">
        <v>1196</v>
      </c>
      <c r="D154" t="s">
        <v>1219</v>
      </c>
      <c r="E154" t="s">
        <v>1311</v>
      </c>
      <c r="F154" t="s">
        <v>1311</v>
      </c>
      <c r="G154" t="s">
        <v>1398</v>
      </c>
      <c r="K154" s="54" t="s">
        <v>821</v>
      </c>
      <c r="L154" s="54" t="s">
        <v>631</v>
      </c>
      <c r="M154" s="54" t="s">
        <v>70</v>
      </c>
      <c r="N154" s="54" t="s">
        <v>1297</v>
      </c>
    </row>
    <row r="155" spans="2:14" x14ac:dyDescent="0.35">
      <c r="B155" t="s">
        <v>651</v>
      </c>
      <c r="C155" t="s">
        <v>34</v>
      </c>
      <c r="D155" t="s">
        <v>822</v>
      </c>
      <c r="E155" t="s">
        <v>1294</v>
      </c>
      <c r="F155" t="s">
        <v>1294</v>
      </c>
      <c r="G155" t="s">
        <v>1391</v>
      </c>
      <c r="K155" s="54" t="s">
        <v>1394</v>
      </c>
      <c r="L155" s="54" t="s">
        <v>1430</v>
      </c>
      <c r="M155" s="54" t="s">
        <v>1358</v>
      </c>
      <c r="N155" s="54" t="s">
        <v>1288</v>
      </c>
    </row>
    <row r="156" spans="2:14" x14ac:dyDescent="0.35">
      <c r="B156" t="s">
        <v>1425</v>
      </c>
      <c r="C156" t="s">
        <v>1353</v>
      </c>
      <c r="D156" t="s">
        <v>1394</v>
      </c>
      <c r="E156" t="s">
        <v>1317</v>
      </c>
      <c r="F156" t="s">
        <v>1317</v>
      </c>
      <c r="G156" t="s">
        <v>1395</v>
      </c>
      <c r="K156" s="54" t="s">
        <v>829</v>
      </c>
      <c r="L156" s="54" t="s">
        <v>590</v>
      </c>
      <c r="M156" s="54" t="s">
        <v>128</v>
      </c>
      <c r="N156" s="54" t="s">
        <v>1297</v>
      </c>
    </row>
    <row r="157" spans="2:14" x14ac:dyDescent="0.35">
      <c r="B157" t="s">
        <v>1127</v>
      </c>
      <c r="C157" t="s">
        <v>1343</v>
      </c>
      <c r="D157" t="s">
        <v>1219</v>
      </c>
      <c r="E157" t="s">
        <v>1287</v>
      </c>
      <c r="F157" t="s">
        <v>1287</v>
      </c>
      <c r="G157" t="s">
        <v>1395</v>
      </c>
      <c r="K157" s="54" t="s">
        <v>1394</v>
      </c>
      <c r="L157" s="54" t="s">
        <v>1462</v>
      </c>
      <c r="M157" s="54" t="s">
        <v>1379</v>
      </c>
      <c r="N157" s="54" t="s">
        <v>1301</v>
      </c>
    </row>
    <row r="158" spans="2:14" x14ac:dyDescent="0.35">
      <c r="B158" t="s">
        <v>1127</v>
      </c>
      <c r="C158" t="s">
        <v>1167</v>
      </c>
      <c r="D158" t="s">
        <v>1219</v>
      </c>
      <c r="E158" t="s">
        <v>1287</v>
      </c>
      <c r="F158" t="s">
        <v>1287</v>
      </c>
      <c r="G158" t="s">
        <v>1395</v>
      </c>
      <c r="K158" s="54" t="s">
        <v>810</v>
      </c>
      <c r="L158" s="54" t="s">
        <v>740</v>
      </c>
      <c r="M158" s="54" t="s">
        <v>340</v>
      </c>
      <c r="N158" s="54" t="s">
        <v>1294</v>
      </c>
    </row>
    <row r="159" spans="2:14" x14ac:dyDescent="0.35">
      <c r="B159" t="s">
        <v>1243</v>
      </c>
      <c r="C159" t="s">
        <v>1343</v>
      </c>
      <c r="D159" t="s">
        <v>1219</v>
      </c>
      <c r="E159" t="s">
        <v>1287</v>
      </c>
      <c r="F159" t="s">
        <v>1287</v>
      </c>
      <c r="G159" t="s">
        <v>1395</v>
      </c>
      <c r="K159" s="54" t="s">
        <v>1394</v>
      </c>
      <c r="L159" s="54" t="s">
        <v>1447</v>
      </c>
      <c r="M159" s="54" t="s">
        <v>1365</v>
      </c>
      <c r="N159" s="54" t="s">
        <v>1304</v>
      </c>
    </row>
    <row r="160" spans="2:14" x14ac:dyDescent="0.35">
      <c r="B160" t="s">
        <v>439</v>
      </c>
      <c r="C160" t="s">
        <v>46</v>
      </c>
      <c r="D160" t="s">
        <v>1061</v>
      </c>
      <c r="E160" t="s">
        <v>1060</v>
      </c>
      <c r="F160" t="s">
        <v>1396</v>
      </c>
      <c r="G160" t="s">
        <v>1395</v>
      </c>
      <c r="K160" s="54" t="s">
        <v>837</v>
      </c>
      <c r="L160" s="54" t="s">
        <v>774</v>
      </c>
      <c r="M160" s="54" t="s">
        <v>376</v>
      </c>
      <c r="N160" s="54" t="s">
        <v>1289</v>
      </c>
    </row>
    <row r="161" spans="2:14" x14ac:dyDescent="0.35">
      <c r="B161" t="s">
        <v>664</v>
      </c>
      <c r="C161" t="s">
        <v>73</v>
      </c>
      <c r="D161" t="s">
        <v>815</v>
      </c>
      <c r="E161" t="s">
        <v>1287</v>
      </c>
      <c r="F161" t="s">
        <v>1287</v>
      </c>
      <c r="G161" t="s">
        <v>1398</v>
      </c>
      <c r="K161" s="54" t="s">
        <v>1061</v>
      </c>
      <c r="L161" s="54" t="s">
        <v>460</v>
      </c>
      <c r="M161" s="54" t="s">
        <v>185</v>
      </c>
      <c r="N161" s="54" t="s">
        <v>1062</v>
      </c>
    </row>
    <row r="162" spans="2:14" x14ac:dyDescent="0.35">
      <c r="B162" t="s">
        <v>1120</v>
      </c>
      <c r="C162" t="s">
        <v>1194</v>
      </c>
      <c r="D162" t="s">
        <v>1219</v>
      </c>
      <c r="E162" t="s">
        <v>1308</v>
      </c>
      <c r="F162" t="s">
        <v>1308</v>
      </c>
      <c r="G162" t="s">
        <v>1395</v>
      </c>
      <c r="K162" s="54" t="s">
        <v>1219</v>
      </c>
      <c r="L162" s="54" t="s">
        <v>1115</v>
      </c>
      <c r="M162" s="54" t="s">
        <v>255</v>
      </c>
      <c r="N162" s="54" t="s">
        <v>1282</v>
      </c>
    </row>
    <row r="163" spans="2:14" x14ac:dyDescent="0.35">
      <c r="B163" t="s">
        <v>437</v>
      </c>
      <c r="C163" t="s">
        <v>181</v>
      </c>
      <c r="D163" t="s">
        <v>832</v>
      </c>
      <c r="E163" t="s">
        <v>1281</v>
      </c>
      <c r="F163" t="s">
        <v>1281</v>
      </c>
      <c r="G163" t="s">
        <v>1395</v>
      </c>
      <c r="K163" s="54" t="s">
        <v>834</v>
      </c>
      <c r="L163" s="54" t="s">
        <v>518</v>
      </c>
      <c r="M163" s="54" t="s">
        <v>178</v>
      </c>
      <c r="N163" s="54" t="s">
        <v>1294</v>
      </c>
    </row>
    <row r="164" spans="2:14" x14ac:dyDescent="0.35">
      <c r="B164" t="s">
        <v>407</v>
      </c>
      <c r="C164" t="s">
        <v>95</v>
      </c>
      <c r="D164" t="s">
        <v>1061</v>
      </c>
      <c r="E164" t="s">
        <v>1295</v>
      </c>
      <c r="F164" t="s">
        <v>1297</v>
      </c>
      <c r="G164" t="s">
        <v>1395</v>
      </c>
      <c r="K164" s="54" t="s">
        <v>1394</v>
      </c>
      <c r="L164" s="54" t="s">
        <v>1397</v>
      </c>
      <c r="M164" s="54" t="s">
        <v>1337</v>
      </c>
      <c r="N164" s="54" t="s">
        <v>1299</v>
      </c>
    </row>
    <row r="165" spans="2:14" x14ac:dyDescent="0.35">
      <c r="B165" t="s">
        <v>676</v>
      </c>
      <c r="C165" t="s">
        <v>105</v>
      </c>
      <c r="D165" t="s">
        <v>815</v>
      </c>
      <c r="E165" t="s">
        <v>1291</v>
      </c>
      <c r="F165" t="s">
        <v>1287</v>
      </c>
      <c r="G165" t="s">
        <v>1398</v>
      </c>
      <c r="K165" s="54" t="s">
        <v>1394</v>
      </c>
      <c r="L165" s="54" t="s">
        <v>1425</v>
      </c>
      <c r="M165" s="54" t="s">
        <v>1353</v>
      </c>
      <c r="N165" s="54" t="s">
        <v>1317</v>
      </c>
    </row>
    <row r="166" spans="2:14" x14ac:dyDescent="0.35">
      <c r="B166" t="s">
        <v>1028</v>
      </c>
      <c r="C166" t="s">
        <v>105</v>
      </c>
      <c r="D166" t="s">
        <v>815</v>
      </c>
      <c r="E166" t="s">
        <v>1291</v>
      </c>
      <c r="F166" t="s">
        <v>1287</v>
      </c>
      <c r="G166" t="s">
        <v>1398</v>
      </c>
      <c r="K166" s="54" t="s">
        <v>822</v>
      </c>
      <c r="L166" s="54" t="s">
        <v>712</v>
      </c>
      <c r="M166" s="54" t="s">
        <v>194</v>
      </c>
      <c r="N166" s="54" t="s">
        <v>1304</v>
      </c>
    </row>
    <row r="167" spans="2:14" x14ac:dyDescent="0.35">
      <c r="B167" t="s">
        <v>1129</v>
      </c>
      <c r="C167" t="s">
        <v>1354</v>
      </c>
      <c r="D167" t="s">
        <v>1219</v>
      </c>
      <c r="E167" t="s">
        <v>1294</v>
      </c>
      <c r="F167" t="s">
        <v>1294</v>
      </c>
      <c r="G167" t="s">
        <v>1391</v>
      </c>
      <c r="K167" s="54" t="s">
        <v>1219</v>
      </c>
      <c r="L167" s="54" t="s">
        <v>1093</v>
      </c>
      <c r="M167" s="54" t="s">
        <v>1213</v>
      </c>
      <c r="N167" s="54" t="s">
        <v>1302</v>
      </c>
    </row>
    <row r="168" spans="2:14" x14ac:dyDescent="0.35">
      <c r="B168" t="s">
        <v>1129</v>
      </c>
      <c r="C168" t="s">
        <v>1170</v>
      </c>
      <c r="D168" t="s">
        <v>1219</v>
      </c>
      <c r="E168" t="s">
        <v>1294</v>
      </c>
      <c r="F168" t="s">
        <v>1294</v>
      </c>
      <c r="G168" t="s">
        <v>1391</v>
      </c>
      <c r="K168" s="54" t="s">
        <v>1394</v>
      </c>
      <c r="L168" s="54" t="s">
        <v>1454</v>
      </c>
      <c r="M168" s="54" t="s">
        <v>1372</v>
      </c>
      <c r="N168" s="54" t="s">
        <v>1062</v>
      </c>
    </row>
    <row r="169" spans="2:14" x14ac:dyDescent="0.35">
      <c r="B169" t="s">
        <v>584</v>
      </c>
      <c r="C169" t="s">
        <v>77</v>
      </c>
      <c r="D169" t="s">
        <v>1225</v>
      </c>
      <c r="E169" t="s">
        <v>1290</v>
      </c>
      <c r="F169" t="s">
        <v>1294</v>
      </c>
      <c r="G169" t="s">
        <v>1391</v>
      </c>
      <c r="K169" s="54" t="s">
        <v>837</v>
      </c>
      <c r="L169" s="54" t="s">
        <v>761</v>
      </c>
      <c r="M169" s="54" t="s">
        <v>362</v>
      </c>
      <c r="N169" s="54" t="s">
        <v>1312</v>
      </c>
    </row>
    <row r="170" spans="2:14" x14ac:dyDescent="0.35">
      <c r="B170" t="s">
        <v>602</v>
      </c>
      <c r="C170" t="s">
        <v>156</v>
      </c>
      <c r="D170" t="s">
        <v>825</v>
      </c>
      <c r="E170" t="s">
        <v>1298</v>
      </c>
      <c r="F170" t="s">
        <v>1323</v>
      </c>
      <c r="G170" t="s">
        <v>1395</v>
      </c>
      <c r="K170" s="54" t="s">
        <v>828</v>
      </c>
      <c r="L170" s="54" t="s">
        <v>609</v>
      </c>
      <c r="M170" s="54" t="s">
        <v>277</v>
      </c>
      <c r="N170" s="54" t="s">
        <v>1312</v>
      </c>
    </row>
    <row r="171" spans="2:14" x14ac:dyDescent="0.35">
      <c r="B171" t="s">
        <v>483</v>
      </c>
      <c r="C171" t="s">
        <v>107</v>
      </c>
      <c r="D171" t="s">
        <v>1061</v>
      </c>
      <c r="E171" t="s">
        <v>1292</v>
      </c>
      <c r="F171" t="s">
        <v>1294</v>
      </c>
      <c r="G171" t="s">
        <v>1391</v>
      </c>
      <c r="K171" s="54" t="s">
        <v>1219</v>
      </c>
      <c r="L171" s="54" t="s">
        <v>1118</v>
      </c>
      <c r="M171" s="54" t="s">
        <v>1210</v>
      </c>
      <c r="N171" s="54" t="s">
        <v>1307</v>
      </c>
    </row>
    <row r="172" spans="2:14" x14ac:dyDescent="0.35">
      <c r="B172" t="s">
        <v>739</v>
      </c>
      <c r="C172" t="s">
        <v>339</v>
      </c>
      <c r="D172" t="s">
        <v>837</v>
      </c>
      <c r="E172" t="s">
        <v>1294</v>
      </c>
      <c r="F172" t="s">
        <v>1294</v>
      </c>
      <c r="G172" t="s">
        <v>1391</v>
      </c>
      <c r="K172" s="54" t="s">
        <v>822</v>
      </c>
      <c r="L172" s="54" t="s">
        <v>1238</v>
      </c>
      <c r="M172" s="54" t="s">
        <v>76</v>
      </c>
      <c r="N172" s="54" t="s">
        <v>1287</v>
      </c>
    </row>
    <row r="173" spans="2:14" x14ac:dyDescent="0.35">
      <c r="B173" t="s">
        <v>1141</v>
      </c>
      <c r="C173" t="s">
        <v>1161</v>
      </c>
      <c r="D173" t="s">
        <v>1219</v>
      </c>
      <c r="E173" t="s">
        <v>1315</v>
      </c>
      <c r="F173" t="s">
        <v>1315</v>
      </c>
      <c r="G173" t="s">
        <v>1426</v>
      </c>
      <c r="K173" s="54" t="s">
        <v>1219</v>
      </c>
      <c r="L173" s="54" t="s">
        <v>1146</v>
      </c>
      <c r="M173" s="54" t="s">
        <v>1201</v>
      </c>
      <c r="N173" s="54" t="s">
        <v>1402</v>
      </c>
    </row>
    <row r="174" spans="2:14" x14ac:dyDescent="0.35">
      <c r="B174" t="s">
        <v>1234</v>
      </c>
      <c r="C174" t="s">
        <v>61</v>
      </c>
      <c r="D174" t="s">
        <v>810</v>
      </c>
      <c r="E174" t="s">
        <v>1287</v>
      </c>
      <c r="F174" t="s">
        <v>1287</v>
      </c>
      <c r="G174" t="s">
        <v>1398</v>
      </c>
      <c r="K174" s="54" t="s">
        <v>837</v>
      </c>
      <c r="L174" s="54" t="s">
        <v>747</v>
      </c>
      <c r="M174" s="54" t="s">
        <v>348</v>
      </c>
      <c r="N174" s="54" t="s">
        <v>1311</v>
      </c>
    </row>
    <row r="175" spans="2:14" x14ac:dyDescent="0.35">
      <c r="B175" t="s">
        <v>659</v>
      </c>
      <c r="C175" t="s">
        <v>61</v>
      </c>
      <c r="D175" t="s">
        <v>810</v>
      </c>
      <c r="E175" t="s">
        <v>1287</v>
      </c>
      <c r="F175" t="s">
        <v>1287</v>
      </c>
      <c r="G175" t="s">
        <v>1398</v>
      </c>
      <c r="K175" s="54" t="s">
        <v>1394</v>
      </c>
      <c r="L175" s="54" t="s">
        <v>1459</v>
      </c>
      <c r="M175" s="54" t="s">
        <v>1376</v>
      </c>
      <c r="N175" s="54" t="s">
        <v>1289</v>
      </c>
    </row>
    <row r="176" spans="2:14" x14ac:dyDescent="0.35">
      <c r="B176" t="s">
        <v>649</v>
      </c>
      <c r="C176" t="s">
        <v>28</v>
      </c>
      <c r="D176" t="s">
        <v>810</v>
      </c>
      <c r="E176" t="s">
        <v>1286</v>
      </c>
      <c r="F176" t="s">
        <v>1289</v>
      </c>
      <c r="G176" t="s">
        <v>1391</v>
      </c>
      <c r="K176" s="54" t="s">
        <v>1394</v>
      </c>
      <c r="L176" s="54" t="s">
        <v>1457</v>
      </c>
      <c r="M176" s="54" t="s">
        <v>1374</v>
      </c>
      <c r="N176" s="54" t="s">
        <v>1404</v>
      </c>
    </row>
    <row r="177" spans="2:14" x14ac:dyDescent="0.35">
      <c r="B177" t="s">
        <v>1427</v>
      </c>
      <c r="C177" t="s">
        <v>1355</v>
      </c>
      <c r="D177" t="s">
        <v>1394</v>
      </c>
      <c r="E177" t="s">
        <v>1404</v>
      </c>
      <c r="F177" t="s">
        <v>1404</v>
      </c>
      <c r="G177" t="s">
        <v>1395</v>
      </c>
      <c r="K177" s="54" t="s">
        <v>1219</v>
      </c>
      <c r="L177" s="54" t="s">
        <v>1083</v>
      </c>
      <c r="M177" s="54" t="s">
        <v>1346</v>
      </c>
      <c r="N177" s="54" t="s">
        <v>1305</v>
      </c>
    </row>
    <row r="178" spans="2:14" x14ac:dyDescent="0.35">
      <c r="B178" t="s">
        <v>1112</v>
      </c>
      <c r="C178" t="s">
        <v>1198</v>
      </c>
      <c r="D178" t="s">
        <v>1219</v>
      </c>
      <c r="E178" t="s">
        <v>1300</v>
      </c>
      <c r="F178" t="s">
        <v>1300</v>
      </c>
      <c r="G178" t="s">
        <v>1391</v>
      </c>
      <c r="K178" s="54" t="s">
        <v>1219</v>
      </c>
      <c r="L178" s="54" t="s">
        <v>1105</v>
      </c>
      <c r="M178" s="54" t="s">
        <v>1182</v>
      </c>
      <c r="N178" s="54" t="s">
        <v>1283</v>
      </c>
    </row>
    <row r="179" spans="2:14" x14ac:dyDescent="0.35">
      <c r="B179" t="s">
        <v>1090</v>
      </c>
      <c r="C179" t="s">
        <v>1265</v>
      </c>
      <c r="D179" t="s">
        <v>1219</v>
      </c>
      <c r="E179" t="s">
        <v>1282</v>
      </c>
      <c r="F179" t="s">
        <v>1282</v>
      </c>
      <c r="G179" t="s">
        <v>1391</v>
      </c>
      <c r="K179" s="54" t="s">
        <v>1394</v>
      </c>
      <c r="L179" s="54" t="s">
        <v>1408</v>
      </c>
      <c r="M179" s="54" t="s">
        <v>1344</v>
      </c>
      <c r="N179" s="54" t="s">
        <v>1316</v>
      </c>
    </row>
    <row r="180" spans="2:14" x14ac:dyDescent="0.35">
      <c r="B180" t="s">
        <v>640</v>
      </c>
      <c r="C180" t="s">
        <v>50</v>
      </c>
      <c r="D180" t="s">
        <v>821</v>
      </c>
      <c r="E180" t="s">
        <v>1293</v>
      </c>
      <c r="F180" t="s">
        <v>1293</v>
      </c>
      <c r="G180" t="s">
        <v>1398</v>
      </c>
      <c r="K180" s="54" t="s">
        <v>1061</v>
      </c>
      <c r="L180" s="54" t="s">
        <v>587</v>
      </c>
      <c r="M180" s="54" t="s">
        <v>110</v>
      </c>
      <c r="N180" s="54" t="s">
        <v>1289</v>
      </c>
    </row>
    <row r="181" spans="2:14" x14ac:dyDescent="0.35">
      <c r="B181" t="s">
        <v>910</v>
      </c>
      <c r="C181" t="s">
        <v>911</v>
      </c>
      <c r="D181" t="s">
        <v>976</v>
      </c>
      <c r="E181" t="s">
        <v>1301</v>
      </c>
      <c r="F181" t="s">
        <v>1301</v>
      </c>
      <c r="G181" t="s">
        <v>1400</v>
      </c>
      <c r="K181" s="54" t="s">
        <v>1394</v>
      </c>
      <c r="L181" s="54" t="s">
        <v>1420</v>
      </c>
      <c r="M181" s="54" t="s">
        <v>1350</v>
      </c>
      <c r="N181" s="54" t="s">
        <v>1289</v>
      </c>
    </row>
    <row r="182" spans="2:14" x14ac:dyDescent="0.35">
      <c r="B182" t="s">
        <v>1087</v>
      </c>
      <c r="C182" t="s">
        <v>1206</v>
      </c>
      <c r="D182" t="s">
        <v>1219</v>
      </c>
      <c r="E182" t="s">
        <v>1315</v>
      </c>
      <c r="F182" t="s">
        <v>1315</v>
      </c>
      <c r="G182" t="s">
        <v>1391</v>
      </c>
      <c r="K182" s="54" t="s">
        <v>822</v>
      </c>
      <c r="L182" s="54" t="s">
        <v>775</v>
      </c>
      <c r="M182" s="54" t="s">
        <v>377</v>
      </c>
      <c r="N182" s="54" t="s">
        <v>1062</v>
      </c>
    </row>
    <row r="183" spans="2:14" x14ac:dyDescent="0.35">
      <c r="B183" t="s">
        <v>1130</v>
      </c>
      <c r="C183" t="s">
        <v>1173</v>
      </c>
      <c r="D183" t="s">
        <v>1219</v>
      </c>
      <c r="E183" t="s">
        <v>1288</v>
      </c>
      <c r="F183" t="s">
        <v>1288</v>
      </c>
      <c r="G183" t="s">
        <v>1398</v>
      </c>
      <c r="K183" s="54" t="s">
        <v>1394</v>
      </c>
      <c r="L183" s="54" t="s">
        <v>1455</v>
      </c>
      <c r="M183" s="54" t="s">
        <v>1369</v>
      </c>
      <c r="N183" s="54" t="s">
        <v>1311</v>
      </c>
    </row>
    <row r="184" spans="2:14" x14ac:dyDescent="0.35">
      <c r="B184" t="s">
        <v>1428</v>
      </c>
      <c r="C184" t="s">
        <v>1356</v>
      </c>
      <c r="D184" t="s">
        <v>1394</v>
      </c>
      <c r="E184" t="s">
        <v>1062</v>
      </c>
      <c r="F184" t="s">
        <v>1062</v>
      </c>
      <c r="G184" t="s">
        <v>1400</v>
      </c>
      <c r="K184" s="54" t="s">
        <v>976</v>
      </c>
      <c r="L184" s="54" t="s">
        <v>928</v>
      </c>
      <c r="M184" s="54" t="s">
        <v>929</v>
      </c>
      <c r="N184" s="54" t="s">
        <v>1328</v>
      </c>
    </row>
    <row r="185" spans="2:14" x14ac:dyDescent="0.35">
      <c r="B185" t="s">
        <v>473</v>
      </c>
      <c r="C185" t="s">
        <v>55</v>
      </c>
      <c r="D185" t="s">
        <v>1061</v>
      </c>
      <c r="E185" t="s">
        <v>1062</v>
      </c>
      <c r="F185" t="s">
        <v>1062</v>
      </c>
      <c r="G185" t="s">
        <v>1400</v>
      </c>
      <c r="K185" s="54" t="s">
        <v>1394</v>
      </c>
      <c r="L185" s="54" t="s">
        <v>1405</v>
      </c>
      <c r="M185" s="54" t="s">
        <v>1341</v>
      </c>
      <c r="N185" s="54" t="s">
        <v>1318</v>
      </c>
    </row>
    <row r="186" spans="2:14" x14ac:dyDescent="0.35">
      <c r="B186" t="s">
        <v>740</v>
      </c>
      <c r="C186" t="s">
        <v>340</v>
      </c>
      <c r="D186" t="s">
        <v>810</v>
      </c>
      <c r="E186" t="s">
        <v>1294</v>
      </c>
      <c r="F186" t="s">
        <v>1294</v>
      </c>
      <c r="G186" t="s">
        <v>1391</v>
      </c>
      <c r="K186" s="54" t="s">
        <v>976</v>
      </c>
      <c r="L186" s="54" t="s">
        <v>926</v>
      </c>
      <c r="M186" s="54" t="s">
        <v>927</v>
      </c>
      <c r="N186" s="54" t="s">
        <v>1299</v>
      </c>
    </row>
    <row r="187" spans="2:14" x14ac:dyDescent="0.35">
      <c r="B187" t="s">
        <v>707</v>
      </c>
      <c r="C187" t="s">
        <v>172</v>
      </c>
      <c r="D187" t="s">
        <v>1061</v>
      </c>
      <c r="E187" t="s">
        <v>1291</v>
      </c>
      <c r="F187" t="s">
        <v>1297</v>
      </c>
      <c r="G187" t="s">
        <v>1398</v>
      </c>
      <c r="K187" s="54" t="s">
        <v>1219</v>
      </c>
      <c r="L187" s="54" t="s">
        <v>1429</v>
      </c>
      <c r="M187" s="54" t="s">
        <v>1357</v>
      </c>
      <c r="N187" s="54" t="s">
        <v>1306</v>
      </c>
    </row>
    <row r="188" spans="2:14" x14ac:dyDescent="0.35">
      <c r="B188" t="s">
        <v>1145</v>
      </c>
      <c r="C188" t="s">
        <v>1180</v>
      </c>
      <c r="D188" t="s">
        <v>1219</v>
      </c>
      <c r="E188" t="s">
        <v>1301</v>
      </c>
      <c r="F188" t="s">
        <v>1301</v>
      </c>
      <c r="G188" t="s">
        <v>1400</v>
      </c>
      <c r="K188" s="54" t="s">
        <v>1061</v>
      </c>
      <c r="L188" s="54" t="s">
        <v>449</v>
      </c>
      <c r="M188" s="54" t="s">
        <v>64</v>
      </c>
      <c r="N188" s="54" t="s">
        <v>1409</v>
      </c>
    </row>
    <row r="189" spans="2:14" x14ac:dyDescent="0.35">
      <c r="B189" t="s">
        <v>1238</v>
      </c>
      <c r="C189" t="s">
        <v>76</v>
      </c>
      <c r="D189" t="s">
        <v>822</v>
      </c>
      <c r="E189" t="s">
        <v>1287</v>
      </c>
      <c r="F189" t="s">
        <v>1287</v>
      </c>
      <c r="G189" t="s">
        <v>1398</v>
      </c>
      <c r="K189" s="54" t="s">
        <v>1267</v>
      </c>
      <c r="L189" s="54" t="s">
        <v>1109</v>
      </c>
      <c r="M189" s="54" t="s">
        <v>1214</v>
      </c>
      <c r="N189" s="54" t="s">
        <v>1294</v>
      </c>
    </row>
    <row r="190" spans="2:14" x14ac:dyDescent="0.35">
      <c r="B190" t="s">
        <v>665</v>
      </c>
      <c r="C190" t="s">
        <v>76</v>
      </c>
      <c r="D190" t="s">
        <v>822</v>
      </c>
      <c r="E190" t="s">
        <v>1287</v>
      </c>
      <c r="F190" t="s">
        <v>1287</v>
      </c>
      <c r="G190" t="s">
        <v>1398</v>
      </c>
      <c r="K190" s="54" t="s">
        <v>828</v>
      </c>
      <c r="L190" s="54" t="s">
        <v>1014</v>
      </c>
      <c r="M190" s="54" t="s">
        <v>272</v>
      </c>
      <c r="N190" s="54" t="s">
        <v>1303</v>
      </c>
    </row>
    <row r="191" spans="2:14" x14ac:dyDescent="0.35">
      <c r="B191" t="s">
        <v>553</v>
      </c>
      <c r="C191" t="s">
        <v>1250</v>
      </c>
      <c r="D191" t="s">
        <v>1061</v>
      </c>
      <c r="E191" t="s">
        <v>1290</v>
      </c>
      <c r="F191" t="s">
        <v>1292</v>
      </c>
      <c r="G191" t="s">
        <v>1391</v>
      </c>
      <c r="K191" s="54" t="s">
        <v>1394</v>
      </c>
      <c r="L191" s="54" t="s">
        <v>1424</v>
      </c>
      <c r="M191" s="54" t="s">
        <v>1352</v>
      </c>
      <c r="N191" s="54" t="s">
        <v>1318</v>
      </c>
    </row>
    <row r="192" spans="2:14" x14ac:dyDescent="0.35">
      <c r="B192" t="s">
        <v>697</v>
      </c>
      <c r="C192" t="s">
        <v>141</v>
      </c>
      <c r="D192" t="s">
        <v>819</v>
      </c>
      <c r="E192" t="s">
        <v>1320</v>
      </c>
      <c r="F192" t="s">
        <v>1303</v>
      </c>
      <c r="G192" t="s">
        <v>1391</v>
      </c>
      <c r="K192" s="54" t="s">
        <v>976</v>
      </c>
      <c r="L192" s="54" t="s">
        <v>1081</v>
      </c>
      <c r="M192" s="54" t="s">
        <v>888</v>
      </c>
      <c r="N192" s="54" t="s">
        <v>1309</v>
      </c>
    </row>
    <row r="193" spans="2:14" x14ac:dyDescent="0.35">
      <c r="B193" t="s">
        <v>1429</v>
      </c>
      <c r="C193" t="s">
        <v>1357</v>
      </c>
      <c r="D193" t="s">
        <v>1219</v>
      </c>
      <c r="E193" t="s">
        <v>1306</v>
      </c>
      <c r="F193" t="s">
        <v>1306</v>
      </c>
      <c r="G193" t="s">
        <v>1395</v>
      </c>
      <c r="K193" s="54" t="s">
        <v>1219</v>
      </c>
      <c r="L193" s="54" t="s">
        <v>1129</v>
      </c>
      <c r="M193" s="54" t="s">
        <v>1354</v>
      </c>
      <c r="N193" s="54" t="s">
        <v>1294</v>
      </c>
    </row>
    <row r="194" spans="2:14" x14ac:dyDescent="0.35">
      <c r="B194" t="s">
        <v>1081</v>
      </c>
      <c r="C194" t="s">
        <v>888</v>
      </c>
      <c r="D194" t="s">
        <v>976</v>
      </c>
      <c r="E194" t="s">
        <v>1309</v>
      </c>
      <c r="F194" t="s">
        <v>1309</v>
      </c>
      <c r="G194" t="s">
        <v>1395</v>
      </c>
      <c r="K194" s="54" t="s">
        <v>810</v>
      </c>
      <c r="L194" s="54" t="s">
        <v>687</v>
      </c>
      <c r="M194" s="54" t="s">
        <v>124</v>
      </c>
      <c r="N194" s="54" t="s">
        <v>1297</v>
      </c>
    </row>
    <row r="195" spans="2:14" x14ac:dyDescent="0.35">
      <c r="B195" t="s">
        <v>914</v>
      </c>
      <c r="C195" t="s">
        <v>915</v>
      </c>
      <c r="D195" t="s">
        <v>976</v>
      </c>
      <c r="E195" t="s">
        <v>1294</v>
      </c>
      <c r="F195" t="s">
        <v>1294</v>
      </c>
      <c r="G195" t="s">
        <v>1391</v>
      </c>
      <c r="K195" s="54" t="s">
        <v>819</v>
      </c>
      <c r="L195" s="54" t="s">
        <v>661</v>
      </c>
      <c r="M195" s="54" t="s">
        <v>65</v>
      </c>
      <c r="N195" s="54" t="s">
        <v>1289</v>
      </c>
    </row>
    <row r="196" spans="2:14" x14ac:dyDescent="0.35">
      <c r="B196" t="s">
        <v>445</v>
      </c>
      <c r="C196" t="s">
        <v>75</v>
      </c>
      <c r="D196" t="s">
        <v>1061</v>
      </c>
      <c r="E196" t="s">
        <v>1280</v>
      </c>
      <c r="F196" t="s">
        <v>1062</v>
      </c>
      <c r="G196" t="s">
        <v>1400</v>
      </c>
      <c r="K196" s="54" t="s">
        <v>1219</v>
      </c>
      <c r="L196" s="54" t="s">
        <v>1144</v>
      </c>
      <c r="M196" s="54" t="s">
        <v>1195</v>
      </c>
      <c r="N196" s="54" t="s">
        <v>1318</v>
      </c>
    </row>
    <row r="197" spans="2:14" x14ac:dyDescent="0.35">
      <c r="B197" t="s">
        <v>755</v>
      </c>
      <c r="C197" t="s">
        <v>356</v>
      </c>
      <c r="D197" t="s">
        <v>837</v>
      </c>
      <c r="E197" t="s">
        <v>1062</v>
      </c>
      <c r="F197" t="s">
        <v>1062</v>
      </c>
      <c r="G197" t="s">
        <v>1400</v>
      </c>
      <c r="K197" s="54" t="s">
        <v>832</v>
      </c>
      <c r="L197" s="54" t="s">
        <v>437</v>
      </c>
      <c r="M197" s="54" t="s">
        <v>181</v>
      </c>
      <c r="N197" s="54" t="s">
        <v>1281</v>
      </c>
    </row>
    <row r="198" spans="2:14" x14ac:dyDescent="0.35">
      <c r="B198" t="s">
        <v>593</v>
      </c>
      <c r="C198" t="s">
        <v>298</v>
      </c>
      <c r="D198" t="s">
        <v>976</v>
      </c>
      <c r="E198" t="s">
        <v>1294</v>
      </c>
      <c r="F198" t="s">
        <v>1294</v>
      </c>
      <c r="G198" t="s">
        <v>1391</v>
      </c>
      <c r="K198" s="54" t="s">
        <v>1061</v>
      </c>
      <c r="L198" s="54" t="s">
        <v>1056</v>
      </c>
      <c r="M198" s="54" t="s">
        <v>208</v>
      </c>
      <c r="N198" s="54" t="s">
        <v>1407</v>
      </c>
    </row>
    <row r="199" spans="2:14" x14ac:dyDescent="0.35">
      <c r="B199" t="s">
        <v>756</v>
      </c>
      <c r="C199" t="s">
        <v>357</v>
      </c>
      <c r="D199" t="s">
        <v>837</v>
      </c>
      <c r="E199" t="s">
        <v>1302</v>
      </c>
      <c r="F199" t="s">
        <v>1302</v>
      </c>
      <c r="G199" t="s">
        <v>1391</v>
      </c>
      <c r="K199" s="54" t="s">
        <v>976</v>
      </c>
      <c r="L199" s="54" t="s">
        <v>958</v>
      </c>
      <c r="M199" s="54" t="s">
        <v>959</v>
      </c>
      <c r="N199" s="54" t="s">
        <v>1329</v>
      </c>
    </row>
    <row r="200" spans="2:14" x14ac:dyDescent="0.35">
      <c r="B200" t="s">
        <v>1430</v>
      </c>
      <c r="C200" t="s">
        <v>1358</v>
      </c>
      <c r="D200" t="s">
        <v>1394</v>
      </c>
      <c r="E200" t="s">
        <v>1288</v>
      </c>
      <c r="F200" t="s">
        <v>1288</v>
      </c>
      <c r="G200" t="s">
        <v>1431</v>
      </c>
      <c r="K200" s="54" t="s">
        <v>1219</v>
      </c>
      <c r="L200" s="54" t="s">
        <v>1087</v>
      </c>
      <c r="M200" s="54" t="s">
        <v>1206</v>
      </c>
      <c r="N200" s="54" t="s">
        <v>1315</v>
      </c>
    </row>
    <row r="201" spans="2:14" x14ac:dyDescent="0.35">
      <c r="B201" t="s">
        <v>426</v>
      </c>
      <c r="C201" t="s">
        <v>160</v>
      </c>
      <c r="D201" t="s">
        <v>1061</v>
      </c>
      <c r="E201" t="s">
        <v>1295</v>
      </c>
      <c r="F201" t="s">
        <v>1295</v>
      </c>
      <c r="G201" t="s">
        <v>1395</v>
      </c>
      <c r="K201" s="54" t="s">
        <v>1061</v>
      </c>
      <c r="L201" s="54" t="s">
        <v>498</v>
      </c>
      <c r="M201" s="54" t="s">
        <v>142</v>
      </c>
      <c r="N201" s="54" t="s">
        <v>1294</v>
      </c>
    </row>
    <row r="202" spans="2:14" x14ac:dyDescent="0.35">
      <c r="B202" t="s">
        <v>586</v>
      </c>
      <c r="C202" t="s">
        <v>86</v>
      </c>
      <c r="D202" t="s">
        <v>1225</v>
      </c>
      <c r="E202" t="s">
        <v>1062</v>
      </c>
      <c r="F202" t="s">
        <v>1062</v>
      </c>
      <c r="G202" t="s">
        <v>1400</v>
      </c>
      <c r="K202" s="54" t="s">
        <v>1061</v>
      </c>
      <c r="L202" s="54" t="s">
        <v>589</v>
      </c>
      <c r="M202" s="54" t="s">
        <v>191</v>
      </c>
      <c r="N202" s="54" t="s">
        <v>1292</v>
      </c>
    </row>
    <row r="203" spans="2:14" x14ac:dyDescent="0.35">
      <c r="B203" t="s">
        <v>916</v>
      </c>
      <c r="C203" t="s">
        <v>917</v>
      </c>
      <c r="D203" t="s">
        <v>976</v>
      </c>
      <c r="E203" t="s">
        <v>1062</v>
      </c>
      <c r="F203" t="s">
        <v>1062</v>
      </c>
      <c r="G203" t="s">
        <v>1400</v>
      </c>
      <c r="K203" s="54" t="s">
        <v>976</v>
      </c>
      <c r="L203" s="54" t="s">
        <v>867</v>
      </c>
      <c r="M203" s="54" t="s">
        <v>868</v>
      </c>
      <c r="N203" s="54" t="s">
        <v>1306</v>
      </c>
    </row>
    <row r="204" spans="2:14" x14ac:dyDescent="0.35">
      <c r="B204" t="s">
        <v>556</v>
      </c>
      <c r="C204" t="s">
        <v>41</v>
      </c>
      <c r="D204" t="s">
        <v>1223</v>
      </c>
      <c r="E204" t="s">
        <v>1287</v>
      </c>
      <c r="F204" t="s">
        <v>1287</v>
      </c>
      <c r="G204" t="s">
        <v>1398</v>
      </c>
      <c r="K204" s="54" t="s">
        <v>972</v>
      </c>
      <c r="L204" s="54" t="s">
        <v>862</v>
      </c>
      <c r="M204" s="54" t="s">
        <v>299</v>
      </c>
      <c r="N204" s="54" t="s">
        <v>1281</v>
      </c>
    </row>
    <row r="205" spans="2:14" x14ac:dyDescent="0.35">
      <c r="B205" t="s">
        <v>684</v>
      </c>
      <c r="C205" t="s">
        <v>120</v>
      </c>
      <c r="D205" t="s">
        <v>822</v>
      </c>
      <c r="E205" t="s">
        <v>1283</v>
      </c>
      <c r="F205" t="s">
        <v>1283</v>
      </c>
      <c r="G205" t="s">
        <v>1391</v>
      </c>
      <c r="K205" s="54" t="s">
        <v>834</v>
      </c>
      <c r="L205" s="54" t="s">
        <v>531</v>
      </c>
      <c r="M205" s="54" t="s">
        <v>187</v>
      </c>
      <c r="N205" s="54" t="s">
        <v>1293</v>
      </c>
    </row>
    <row r="206" spans="2:14" x14ac:dyDescent="0.35">
      <c r="B206" t="s">
        <v>1142</v>
      </c>
      <c r="C206" t="s">
        <v>1199</v>
      </c>
      <c r="D206" t="s">
        <v>1219</v>
      </c>
      <c r="E206" t="s">
        <v>1287</v>
      </c>
      <c r="F206" t="s">
        <v>1287</v>
      </c>
      <c r="G206" t="s">
        <v>1398</v>
      </c>
      <c r="K206" s="54" t="s">
        <v>827</v>
      </c>
      <c r="L206" s="54" t="s">
        <v>481</v>
      </c>
      <c r="M206" s="54" t="s">
        <v>102</v>
      </c>
      <c r="N206" s="54" t="s">
        <v>1409</v>
      </c>
    </row>
    <row r="207" spans="2:14" x14ac:dyDescent="0.35">
      <c r="B207" t="s">
        <v>497</v>
      </c>
      <c r="C207" t="s">
        <v>155</v>
      </c>
      <c r="D207" t="s">
        <v>1061</v>
      </c>
      <c r="E207" t="s">
        <v>1291</v>
      </c>
      <c r="F207" t="s">
        <v>1407</v>
      </c>
      <c r="G207" t="s">
        <v>1398</v>
      </c>
      <c r="K207" s="54" t="s">
        <v>832</v>
      </c>
      <c r="L207" s="54" t="s">
        <v>495</v>
      </c>
      <c r="M207" s="54" t="s">
        <v>161</v>
      </c>
      <c r="N207" s="54" t="s">
        <v>1303</v>
      </c>
    </row>
    <row r="208" spans="2:14" x14ac:dyDescent="0.35">
      <c r="B208" t="s">
        <v>758</v>
      </c>
      <c r="C208" t="s">
        <v>359</v>
      </c>
      <c r="D208" t="s">
        <v>837</v>
      </c>
      <c r="E208" t="s">
        <v>1294</v>
      </c>
      <c r="F208" t="s">
        <v>1294</v>
      </c>
      <c r="G208" t="s">
        <v>1391</v>
      </c>
      <c r="K208" s="54" t="s">
        <v>815</v>
      </c>
      <c r="L208" s="54" t="s">
        <v>709</v>
      </c>
      <c r="M208" s="54" t="s">
        <v>180</v>
      </c>
      <c r="N208" s="54" t="s">
        <v>1313</v>
      </c>
    </row>
    <row r="209" spans="2:14" x14ac:dyDescent="0.35">
      <c r="B209" t="s">
        <v>1093</v>
      </c>
      <c r="C209" t="s">
        <v>1213</v>
      </c>
      <c r="D209" t="s">
        <v>1219</v>
      </c>
      <c r="E209" t="s">
        <v>1302</v>
      </c>
      <c r="F209" t="s">
        <v>1302</v>
      </c>
      <c r="G209" t="s">
        <v>1391</v>
      </c>
      <c r="K209" s="54" t="s">
        <v>1221</v>
      </c>
      <c r="L209" s="54" t="s">
        <v>532</v>
      </c>
      <c r="M209" s="54" t="s">
        <v>199</v>
      </c>
      <c r="N209" s="54" t="s">
        <v>1303</v>
      </c>
    </row>
    <row r="210" spans="2:14" x14ac:dyDescent="0.35">
      <c r="B210" t="s">
        <v>1136</v>
      </c>
      <c r="C210" t="s">
        <v>1183</v>
      </c>
      <c r="D210" t="s">
        <v>1219</v>
      </c>
      <c r="E210" t="s">
        <v>1288</v>
      </c>
      <c r="F210" t="s">
        <v>1288</v>
      </c>
      <c r="G210" t="s">
        <v>1398</v>
      </c>
      <c r="K210" s="54" t="s">
        <v>1219</v>
      </c>
      <c r="L210" s="54" t="s">
        <v>1083</v>
      </c>
      <c r="M210" s="54" t="s">
        <v>1084</v>
      </c>
      <c r="N210" s="54" t="s">
        <v>1305</v>
      </c>
    </row>
    <row r="211" spans="2:14" x14ac:dyDescent="0.35">
      <c r="B211" t="s">
        <v>1432</v>
      </c>
      <c r="C211" t="s">
        <v>71</v>
      </c>
      <c r="D211" t="s">
        <v>1061</v>
      </c>
      <c r="E211" t="s">
        <v>1062</v>
      </c>
      <c r="F211" t="s">
        <v>1062</v>
      </c>
      <c r="G211" t="s">
        <v>1400</v>
      </c>
      <c r="K211" s="54" t="s">
        <v>1219</v>
      </c>
      <c r="L211" s="54" t="s">
        <v>1082</v>
      </c>
      <c r="M211" s="54" t="s">
        <v>1215</v>
      </c>
      <c r="N211" s="54" t="s">
        <v>1305</v>
      </c>
    </row>
    <row r="212" spans="2:14" x14ac:dyDescent="0.35">
      <c r="B212" t="s">
        <v>1241</v>
      </c>
      <c r="C212" t="s">
        <v>71</v>
      </c>
      <c r="D212" t="s">
        <v>1061</v>
      </c>
      <c r="E212" t="s">
        <v>1062</v>
      </c>
      <c r="F212" t="s">
        <v>1062</v>
      </c>
      <c r="G212" t="s">
        <v>1400</v>
      </c>
      <c r="K212" s="54" t="s">
        <v>976</v>
      </c>
      <c r="L212" s="54" t="s">
        <v>883</v>
      </c>
      <c r="M212" s="54" t="s">
        <v>884</v>
      </c>
      <c r="N212" s="54" t="s">
        <v>1329</v>
      </c>
    </row>
    <row r="213" spans="2:14" x14ac:dyDescent="0.35">
      <c r="B213" t="s">
        <v>759</v>
      </c>
      <c r="C213" t="s">
        <v>360</v>
      </c>
      <c r="D213" t="s">
        <v>837</v>
      </c>
      <c r="E213" t="s">
        <v>1301</v>
      </c>
      <c r="F213" t="s">
        <v>1301</v>
      </c>
      <c r="G213" t="s">
        <v>1400</v>
      </c>
      <c r="K213" s="54" t="s">
        <v>976</v>
      </c>
      <c r="L213" s="54" t="s">
        <v>932</v>
      </c>
      <c r="M213" s="54" t="s">
        <v>933</v>
      </c>
      <c r="N213" s="54" t="s">
        <v>1300</v>
      </c>
    </row>
    <row r="214" spans="2:14" x14ac:dyDescent="0.35">
      <c r="B214" t="s">
        <v>1433</v>
      </c>
      <c r="C214" t="s">
        <v>1151</v>
      </c>
      <c r="D214" t="s">
        <v>1219</v>
      </c>
      <c r="E214" t="s">
        <v>1289</v>
      </c>
      <c r="F214" t="s">
        <v>1289</v>
      </c>
      <c r="G214" t="s">
        <v>1391</v>
      </c>
      <c r="K214" s="54" t="s">
        <v>828</v>
      </c>
      <c r="L214" s="54" t="s">
        <v>727</v>
      </c>
      <c r="M214" s="54" t="s">
        <v>289</v>
      </c>
      <c r="N214" s="54" t="s">
        <v>1284</v>
      </c>
    </row>
    <row r="215" spans="2:14" x14ac:dyDescent="0.35">
      <c r="B215" t="s">
        <v>1110</v>
      </c>
      <c r="C215" t="s">
        <v>1151</v>
      </c>
      <c r="D215" t="s">
        <v>1219</v>
      </c>
      <c r="E215" t="s">
        <v>1289</v>
      </c>
      <c r="F215" t="s">
        <v>1289</v>
      </c>
      <c r="G215" t="s">
        <v>1391</v>
      </c>
      <c r="K215" s="54" t="s">
        <v>976</v>
      </c>
      <c r="L215" s="54" t="s">
        <v>946</v>
      </c>
      <c r="M215" s="54" t="s">
        <v>947</v>
      </c>
      <c r="N215" s="54" t="s">
        <v>1289</v>
      </c>
    </row>
    <row r="216" spans="2:14" x14ac:dyDescent="0.35">
      <c r="B216" t="s">
        <v>1434</v>
      </c>
      <c r="C216" t="s">
        <v>1151</v>
      </c>
      <c r="D216" t="s">
        <v>1219</v>
      </c>
      <c r="E216" t="s">
        <v>1289</v>
      </c>
      <c r="F216" t="s">
        <v>1289</v>
      </c>
      <c r="G216" t="s">
        <v>1391</v>
      </c>
      <c r="K216" s="54" t="s">
        <v>1269</v>
      </c>
      <c r="L216" s="54" t="s">
        <v>566</v>
      </c>
      <c r="M216" s="54" t="s">
        <v>237</v>
      </c>
      <c r="N216" s="54" t="s">
        <v>1303</v>
      </c>
    </row>
    <row r="217" spans="2:14" x14ac:dyDescent="0.35">
      <c r="B217" t="s">
        <v>1435</v>
      </c>
      <c r="C217" t="s">
        <v>1151</v>
      </c>
      <c r="D217" t="s">
        <v>1219</v>
      </c>
      <c r="E217" t="s">
        <v>1289</v>
      </c>
      <c r="F217" t="s">
        <v>1289</v>
      </c>
      <c r="G217" t="s">
        <v>1391</v>
      </c>
      <c r="K217" s="54" t="s">
        <v>837</v>
      </c>
      <c r="L217" s="54" t="s">
        <v>742</v>
      </c>
      <c r="M217" s="54" t="s">
        <v>342</v>
      </c>
      <c r="N217" s="54" t="s">
        <v>1294</v>
      </c>
    </row>
    <row r="218" spans="2:14" x14ac:dyDescent="0.35">
      <c r="B218" t="s">
        <v>1240</v>
      </c>
      <c r="C218" t="s">
        <v>1151</v>
      </c>
      <c r="D218" t="s">
        <v>1219</v>
      </c>
      <c r="E218" t="s">
        <v>1289</v>
      </c>
      <c r="F218" t="s">
        <v>1289</v>
      </c>
      <c r="G218" t="s">
        <v>1391</v>
      </c>
      <c r="K218" s="54" t="s">
        <v>837</v>
      </c>
      <c r="L218" s="54" t="s">
        <v>745</v>
      </c>
      <c r="M218" s="54" t="s">
        <v>346</v>
      </c>
      <c r="N218" s="54" t="s">
        <v>1283</v>
      </c>
    </row>
    <row r="219" spans="2:14" x14ac:dyDescent="0.35">
      <c r="B219" t="s">
        <v>685</v>
      </c>
      <c r="C219" t="s">
        <v>122</v>
      </c>
      <c r="D219" t="s">
        <v>1221</v>
      </c>
      <c r="E219" t="s">
        <v>1286</v>
      </c>
      <c r="F219" t="s">
        <v>1330</v>
      </c>
      <c r="G219" t="s">
        <v>1391</v>
      </c>
      <c r="K219" s="54" t="s">
        <v>828</v>
      </c>
      <c r="L219" s="54" t="s">
        <v>610</v>
      </c>
      <c r="M219" s="54" t="s">
        <v>144</v>
      </c>
      <c r="N219" s="54" t="s">
        <v>1062</v>
      </c>
    </row>
    <row r="220" spans="2:14" x14ac:dyDescent="0.35">
      <c r="B220" t="s">
        <v>1436</v>
      </c>
      <c r="C220" t="s">
        <v>1437</v>
      </c>
      <c r="D220" t="s">
        <v>1394</v>
      </c>
      <c r="E220" t="s">
        <v>1294</v>
      </c>
      <c r="F220" t="s">
        <v>1294</v>
      </c>
      <c r="G220" t="s">
        <v>1391</v>
      </c>
      <c r="K220" s="54" t="s">
        <v>1219</v>
      </c>
      <c r="L220" s="54" t="s">
        <v>1145</v>
      </c>
      <c r="M220" s="54" t="s">
        <v>1180</v>
      </c>
      <c r="N220" s="54" t="s">
        <v>1301</v>
      </c>
    </row>
    <row r="221" spans="2:14" x14ac:dyDescent="0.35">
      <c r="B221" t="s">
        <v>1438</v>
      </c>
      <c r="C221" t="s">
        <v>1359</v>
      </c>
      <c r="D221" t="s">
        <v>1394</v>
      </c>
      <c r="E221" t="s">
        <v>1303</v>
      </c>
      <c r="F221" t="s">
        <v>1303</v>
      </c>
      <c r="G221" t="s">
        <v>1391</v>
      </c>
      <c r="K221" s="54" t="s">
        <v>1061</v>
      </c>
      <c r="L221" s="54" t="s">
        <v>452</v>
      </c>
      <c r="M221" s="54" t="s">
        <v>189</v>
      </c>
      <c r="N221" s="54" t="s">
        <v>1291</v>
      </c>
    </row>
    <row r="222" spans="2:14" x14ac:dyDescent="0.35">
      <c r="B222" t="s">
        <v>1439</v>
      </c>
      <c r="C222" t="s">
        <v>1359</v>
      </c>
      <c r="D222" t="s">
        <v>1394</v>
      </c>
      <c r="E222" t="s">
        <v>1303</v>
      </c>
      <c r="F222" t="s">
        <v>1303</v>
      </c>
      <c r="G222" t="s">
        <v>1391</v>
      </c>
      <c r="K222" s="54" t="s">
        <v>976</v>
      </c>
      <c r="L222" s="54" t="s">
        <v>912</v>
      </c>
      <c r="M222" s="54" t="s">
        <v>913</v>
      </c>
      <c r="N222" s="54" t="s">
        <v>1304</v>
      </c>
    </row>
    <row r="223" spans="2:14" x14ac:dyDescent="0.35">
      <c r="B223" t="s">
        <v>1052</v>
      </c>
      <c r="C223" t="s">
        <v>1246</v>
      </c>
      <c r="D223" t="s">
        <v>819</v>
      </c>
      <c r="E223" t="s">
        <v>1287</v>
      </c>
      <c r="F223" t="s">
        <v>1287</v>
      </c>
      <c r="G223" t="s">
        <v>1398</v>
      </c>
      <c r="K223" s="54" t="s">
        <v>976</v>
      </c>
      <c r="L223" s="54" t="s">
        <v>958</v>
      </c>
      <c r="M223" s="54" t="s">
        <v>1075</v>
      </c>
      <c r="N223" s="54" t="s">
        <v>1329</v>
      </c>
    </row>
    <row r="224" spans="2:14" x14ac:dyDescent="0.35">
      <c r="B224" t="s">
        <v>1440</v>
      </c>
      <c r="C224" t="s">
        <v>1360</v>
      </c>
      <c r="D224" t="s">
        <v>1394</v>
      </c>
      <c r="E224" t="s">
        <v>1317</v>
      </c>
      <c r="F224" t="s">
        <v>1317</v>
      </c>
      <c r="G224" t="s">
        <v>1395</v>
      </c>
      <c r="K224" s="54" t="s">
        <v>976</v>
      </c>
      <c r="L224" s="54" t="s">
        <v>908</v>
      </c>
      <c r="M224" s="54" t="s">
        <v>1076</v>
      </c>
      <c r="N224" s="54" t="s">
        <v>1282</v>
      </c>
    </row>
    <row r="225" spans="2:14" x14ac:dyDescent="0.35">
      <c r="B225" t="s">
        <v>795</v>
      </c>
      <c r="C225" t="s">
        <v>8</v>
      </c>
      <c r="D225" t="s">
        <v>817</v>
      </c>
      <c r="E225" t="s">
        <v>1286</v>
      </c>
      <c r="F225" t="s">
        <v>1396</v>
      </c>
      <c r="G225" t="s">
        <v>1391</v>
      </c>
      <c r="K225" s="54" t="s">
        <v>1061</v>
      </c>
      <c r="L225" s="54" t="s">
        <v>771</v>
      </c>
      <c r="M225" s="54" t="s">
        <v>373</v>
      </c>
      <c r="N225" s="54" t="s">
        <v>1287</v>
      </c>
    </row>
    <row r="226" spans="2:14" x14ac:dyDescent="0.35">
      <c r="B226" t="s">
        <v>760</v>
      </c>
      <c r="C226" t="s">
        <v>361</v>
      </c>
      <c r="D226" t="s">
        <v>837</v>
      </c>
      <c r="E226" t="s">
        <v>1288</v>
      </c>
      <c r="F226" t="s">
        <v>1288</v>
      </c>
      <c r="G226" t="s">
        <v>1398</v>
      </c>
      <c r="K226" s="54" t="s">
        <v>815</v>
      </c>
      <c r="L226" s="54" t="s">
        <v>681</v>
      </c>
      <c r="M226" s="54" t="s">
        <v>116</v>
      </c>
      <c r="N226" s="54" t="s">
        <v>1289</v>
      </c>
    </row>
    <row r="227" spans="2:14" x14ac:dyDescent="0.35">
      <c r="B227" t="s">
        <v>918</v>
      </c>
      <c r="C227" t="s">
        <v>919</v>
      </c>
      <c r="D227" t="s">
        <v>976</v>
      </c>
      <c r="E227" t="s">
        <v>1296</v>
      </c>
      <c r="F227" t="s">
        <v>1296</v>
      </c>
      <c r="G227" t="s">
        <v>1391</v>
      </c>
      <c r="K227" s="54" t="s">
        <v>1219</v>
      </c>
      <c r="L227" s="54" t="s">
        <v>1139</v>
      </c>
      <c r="M227" s="54" t="s">
        <v>1211</v>
      </c>
      <c r="N227" s="54" t="s">
        <v>1306</v>
      </c>
    </row>
    <row r="228" spans="2:14" x14ac:dyDescent="0.35">
      <c r="B228" t="s">
        <v>1441</v>
      </c>
      <c r="C228" t="s">
        <v>1361</v>
      </c>
      <c r="D228" t="s">
        <v>1394</v>
      </c>
      <c r="E228" t="s">
        <v>1283</v>
      </c>
      <c r="F228" t="s">
        <v>1283</v>
      </c>
      <c r="G228" t="s">
        <v>1391</v>
      </c>
      <c r="K228" s="54" t="s">
        <v>1219</v>
      </c>
      <c r="L228" s="54" t="s">
        <v>1139</v>
      </c>
      <c r="M228" s="54" t="s">
        <v>1212</v>
      </c>
      <c r="N228" s="54" t="s">
        <v>1306</v>
      </c>
    </row>
    <row r="229" spans="2:14" x14ac:dyDescent="0.35">
      <c r="B229" t="s">
        <v>468</v>
      </c>
      <c r="C229" t="s">
        <v>54</v>
      </c>
      <c r="D229" t="s">
        <v>812</v>
      </c>
      <c r="E229" t="s">
        <v>1290</v>
      </c>
      <c r="F229" t="s">
        <v>1286</v>
      </c>
      <c r="G229" t="s">
        <v>1391</v>
      </c>
      <c r="K229" s="54" t="s">
        <v>976</v>
      </c>
      <c r="L229" s="54" t="s">
        <v>898</v>
      </c>
      <c r="M229" s="54" t="s">
        <v>899</v>
      </c>
      <c r="N229" s="54" t="s">
        <v>1283</v>
      </c>
    </row>
    <row r="230" spans="2:14" x14ac:dyDescent="0.35">
      <c r="B230" t="s">
        <v>585</v>
      </c>
      <c r="C230" t="s">
        <v>126</v>
      </c>
      <c r="D230" t="s">
        <v>1225</v>
      </c>
      <c r="E230" t="s">
        <v>1292</v>
      </c>
      <c r="F230" t="s">
        <v>1322</v>
      </c>
      <c r="G230" t="s">
        <v>1391</v>
      </c>
      <c r="K230" s="54" t="s">
        <v>1061</v>
      </c>
      <c r="L230" s="54" t="s">
        <v>420</v>
      </c>
      <c r="M230" s="54" t="s">
        <v>11</v>
      </c>
      <c r="N230" s="54" t="s">
        <v>1294</v>
      </c>
    </row>
    <row r="231" spans="2:14" x14ac:dyDescent="0.35">
      <c r="B231" t="s">
        <v>464</v>
      </c>
      <c r="C231" t="s">
        <v>1248</v>
      </c>
      <c r="D231" t="s">
        <v>1061</v>
      </c>
      <c r="E231" t="s">
        <v>1305</v>
      </c>
      <c r="F231" t="s">
        <v>1062</v>
      </c>
      <c r="G231" t="s">
        <v>1400</v>
      </c>
      <c r="K231" s="54" t="s">
        <v>837</v>
      </c>
      <c r="L231" s="54" t="s">
        <v>780</v>
      </c>
      <c r="M231" s="54" t="s">
        <v>383</v>
      </c>
      <c r="N231" s="54" t="s">
        <v>1297</v>
      </c>
    </row>
    <row r="232" spans="2:14" x14ac:dyDescent="0.35">
      <c r="B232" t="s">
        <v>993</v>
      </c>
      <c r="C232" t="s">
        <v>21</v>
      </c>
      <c r="D232" t="s">
        <v>1061</v>
      </c>
      <c r="E232" t="s">
        <v>1281</v>
      </c>
      <c r="F232" t="s">
        <v>1312</v>
      </c>
      <c r="G232" t="s">
        <v>1395</v>
      </c>
      <c r="K232" s="54" t="s">
        <v>976</v>
      </c>
      <c r="L232" s="54" t="s">
        <v>875</v>
      </c>
      <c r="M232" s="54" t="s">
        <v>876</v>
      </c>
      <c r="N232" s="54" t="s">
        <v>1332</v>
      </c>
    </row>
    <row r="233" spans="2:14" x14ac:dyDescent="0.35">
      <c r="B233" t="s">
        <v>1006</v>
      </c>
      <c r="C233" t="s">
        <v>21</v>
      </c>
      <c r="D233" t="s">
        <v>1061</v>
      </c>
      <c r="E233" t="s">
        <v>1281</v>
      </c>
      <c r="F233" t="s">
        <v>1312</v>
      </c>
      <c r="G233" t="s">
        <v>1395</v>
      </c>
      <c r="K233" s="54" t="s">
        <v>976</v>
      </c>
      <c r="L233" s="54" t="s">
        <v>877</v>
      </c>
      <c r="M233" s="54" t="s">
        <v>878</v>
      </c>
      <c r="N233" s="54" t="s">
        <v>1301</v>
      </c>
    </row>
    <row r="234" spans="2:14" x14ac:dyDescent="0.35">
      <c r="B234" t="s">
        <v>620</v>
      </c>
      <c r="C234" t="s">
        <v>21</v>
      </c>
      <c r="D234" t="s">
        <v>1061</v>
      </c>
      <c r="E234" t="s">
        <v>1281</v>
      </c>
      <c r="F234" t="s">
        <v>1312</v>
      </c>
      <c r="G234" t="s">
        <v>1395</v>
      </c>
      <c r="K234" s="54" t="s">
        <v>1219</v>
      </c>
      <c r="L234" s="54" t="s">
        <v>1132</v>
      </c>
      <c r="M234" s="54" t="s">
        <v>1209</v>
      </c>
      <c r="N234" s="54" t="s">
        <v>1283</v>
      </c>
    </row>
    <row r="235" spans="2:14" x14ac:dyDescent="0.35">
      <c r="B235" t="s">
        <v>1442</v>
      </c>
      <c r="C235" t="s">
        <v>1362</v>
      </c>
      <c r="D235" t="s">
        <v>1394</v>
      </c>
      <c r="E235" t="s">
        <v>1283</v>
      </c>
      <c r="F235" t="s">
        <v>1283</v>
      </c>
      <c r="G235" t="s">
        <v>1391</v>
      </c>
      <c r="K235" s="54" t="s">
        <v>822</v>
      </c>
      <c r="L235" s="54" t="s">
        <v>692</v>
      </c>
      <c r="M235" s="54" t="s">
        <v>133</v>
      </c>
      <c r="N235" s="54" t="s">
        <v>1299</v>
      </c>
    </row>
    <row r="236" spans="2:14" x14ac:dyDescent="0.35">
      <c r="B236" t="s">
        <v>621</v>
      </c>
      <c r="C236" t="s">
        <v>26</v>
      </c>
      <c r="D236" t="s">
        <v>1061</v>
      </c>
      <c r="E236" t="s">
        <v>1287</v>
      </c>
      <c r="F236" t="s">
        <v>1287</v>
      </c>
      <c r="G236" t="s">
        <v>1398</v>
      </c>
      <c r="K236" s="54" t="s">
        <v>1219</v>
      </c>
      <c r="L236" s="54" t="s">
        <v>1133</v>
      </c>
      <c r="M236" s="54" t="s">
        <v>1204</v>
      </c>
      <c r="N236" s="54" t="s">
        <v>1299</v>
      </c>
    </row>
    <row r="237" spans="2:14" x14ac:dyDescent="0.35">
      <c r="B237" t="s">
        <v>698</v>
      </c>
      <c r="C237" t="s">
        <v>146</v>
      </c>
      <c r="D237" t="s">
        <v>810</v>
      </c>
      <c r="E237" t="s">
        <v>1294</v>
      </c>
      <c r="F237" t="s">
        <v>1294</v>
      </c>
      <c r="G237" t="s">
        <v>1391</v>
      </c>
      <c r="K237" s="54" t="s">
        <v>1061</v>
      </c>
      <c r="L237" s="54" t="s">
        <v>628</v>
      </c>
      <c r="M237" s="54" t="s">
        <v>148</v>
      </c>
      <c r="N237" s="54" t="s">
        <v>1294</v>
      </c>
    </row>
    <row r="238" spans="2:14" x14ac:dyDescent="0.35">
      <c r="B238" t="s">
        <v>1113</v>
      </c>
      <c r="C238" t="s">
        <v>1193</v>
      </c>
      <c r="D238" t="s">
        <v>1260</v>
      </c>
      <c r="E238" t="s">
        <v>1303</v>
      </c>
      <c r="F238" t="s">
        <v>1303</v>
      </c>
      <c r="G238" t="s">
        <v>1391</v>
      </c>
      <c r="K238" s="54" t="s">
        <v>837</v>
      </c>
      <c r="L238" s="54" t="s">
        <v>762</v>
      </c>
      <c r="M238" s="54" t="s">
        <v>363</v>
      </c>
      <c r="N238" s="54" t="s">
        <v>1282</v>
      </c>
    </row>
    <row r="239" spans="2:14" x14ac:dyDescent="0.35">
      <c r="B239" t="s">
        <v>646</v>
      </c>
      <c r="C239" t="s">
        <v>23</v>
      </c>
      <c r="D239" t="s">
        <v>819</v>
      </c>
      <c r="E239" t="s">
        <v>1285</v>
      </c>
      <c r="F239" t="s">
        <v>1300</v>
      </c>
      <c r="G239" t="s">
        <v>1391</v>
      </c>
      <c r="K239" s="54" t="s">
        <v>817</v>
      </c>
      <c r="L239" s="54" t="s">
        <v>520</v>
      </c>
      <c r="M239" s="54" t="s">
        <v>90</v>
      </c>
      <c r="N239" s="54" t="s">
        <v>1289</v>
      </c>
    </row>
    <row r="240" spans="2:14" x14ac:dyDescent="0.35">
      <c r="B240" t="s">
        <v>761</v>
      </c>
      <c r="C240" t="s">
        <v>362</v>
      </c>
      <c r="D240" t="s">
        <v>837</v>
      </c>
      <c r="E240" t="s">
        <v>1312</v>
      </c>
      <c r="F240" t="s">
        <v>1312</v>
      </c>
      <c r="G240" t="s">
        <v>1395</v>
      </c>
      <c r="K240" s="54" t="s">
        <v>810</v>
      </c>
      <c r="L240" s="54" t="s">
        <v>689</v>
      </c>
      <c r="M240" s="54" t="s">
        <v>129</v>
      </c>
      <c r="N240" s="54" t="s">
        <v>1294</v>
      </c>
    </row>
    <row r="241" spans="2:14" x14ac:dyDescent="0.35">
      <c r="B241" t="s">
        <v>1134</v>
      </c>
      <c r="C241" t="s">
        <v>1190</v>
      </c>
      <c r="D241" t="s">
        <v>1219</v>
      </c>
      <c r="E241" t="s">
        <v>1300</v>
      </c>
      <c r="F241" t="s">
        <v>1300</v>
      </c>
      <c r="G241" t="s">
        <v>1391</v>
      </c>
      <c r="K241" s="54" t="s">
        <v>837</v>
      </c>
      <c r="L241" s="54" t="s">
        <v>777</v>
      </c>
      <c r="M241" s="54" t="s">
        <v>379</v>
      </c>
      <c r="N241" s="54" t="s">
        <v>1294</v>
      </c>
    </row>
    <row r="242" spans="2:14" x14ac:dyDescent="0.35">
      <c r="B242" t="s">
        <v>1443</v>
      </c>
      <c r="C242" t="s">
        <v>1363</v>
      </c>
      <c r="D242" t="s">
        <v>1394</v>
      </c>
      <c r="E242" t="s">
        <v>1318</v>
      </c>
      <c r="F242" t="s">
        <v>1318</v>
      </c>
      <c r="G242" t="s">
        <v>1395</v>
      </c>
      <c r="K242" s="54" t="s">
        <v>837</v>
      </c>
      <c r="L242" s="54" t="s">
        <v>1078</v>
      </c>
      <c r="M242" s="54" t="s">
        <v>1205</v>
      </c>
      <c r="N242" s="54" t="s">
        <v>1307</v>
      </c>
    </row>
    <row r="243" spans="2:14" x14ac:dyDescent="0.35">
      <c r="B243" t="s">
        <v>730</v>
      </c>
      <c r="C243" t="s">
        <v>303</v>
      </c>
      <c r="D243" t="s">
        <v>828</v>
      </c>
      <c r="E243" t="s">
        <v>1303</v>
      </c>
      <c r="F243" t="s">
        <v>1303</v>
      </c>
      <c r="G243" t="s">
        <v>1391</v>
      </c>
      <c r="K243" s="54" t="s">
        <v>1061</v>
      </c>
      <c r="L243" s="54" t="s">
        <v>622</v>
      </c>
      <c r="M243" s="54" t="s">
        <v>184</v>
      </c>
      <c r="N243" s="54" t="s">
        <v>1323</v>
      </c>
    </row>
    <row r="244" spans="2:14" x14ac:dyDescent="0.35">
      <c r="B244" t="s">
        <v>687</v>
      </c>
      <c r="C244" t="s">
        <v>124</v>
      </c>
      <c r="D244" t="s">
        <v>810</v>
      </c>
      <c r="E244" t="s">
        <v>1297</v>
      </c>
      <c r="F244" t="s">
        <v>1297</v>
      </c>
      <c r="G244" t="s">
        <v>1395</v>
      </c>
      <c r="K244" s="54" t="s">
        <v>976</v>
      </c>
      <c r="L244" s="54" t="s">
        <v>892</v>
      </c>
      <c r="M244" s="54" t="s">
        <v>893</v>
      </c>
      <c r="N244" s="54" t="s">
        <v>1296</v>
      </c>
    </row>
    <row r="245" spans="2:14" x14ac:dyDescent="0.35">
      <c r="B245" t="s">
        <v>922</v>
      </c>
      <c r="C245" t="s">
        <v>923</v>
      </c>
      <c r="D245" t="s">
        <v>976</v>
      </c>
      <c r="E245" t="s">
        <v>1308</v>
      </c>
      <c r="F245" t="s">
        <v>1310</v>
      </c>
      <c r="G245" t="s">
        <v>1395</v>
      </c>
      <c r="K245" s="54" t="s">
        <v>834</v>
      </c>
      <c r="L245" s="54" t="s">
        <v>535</v>
      </c>
      <c r="M245" s="54" t="s">
        <v>168</v>
      </c>
      <c r="N245" s="54" t="s">
        <v>1303</v>
      </c>
    </row>
    <row r="246" spans="2:14" x14ac:dyDescent="0.35">
      <c r="B246" t="s">
        <v>1143</v>
      </c>
      <c r="C246" t="s">
        <v>1207</v>
      </c>
      <c r="D246" t="s">
        <v>1219</v>
      </c>
      <c r="E246" t="s">
        <v>1296</v>
      </c>
      <c r="F246" t="s">
        <v>1296</v>
      </c>
      <c r="G246" t="s">
        <v>1391</v>
      </c>
      <c r="K246" s="54" t="s">
        <v>837</v>
      </c>
      <c r="L246" s="54" t="s">
        <v>894</v>
      </c>
      <c r="M246" s="54" t="s">
        <v>895</v>
      </c>
      <c r="N246" s="54" t="s">
        <v>1294</v>
      </c>
    </row>
    <row r="247" spans="2:14" x14ac:dyDescent="0.35">
      <c r="B247" t="s">
        <v>1444</v>
      </c>
      <c r="C247" t="s">
        <v>1445</v>
      </c>
      <c r="D247" t="s">
        <v>1394</v>
      </c>
      <c r="E247" t="s">
        <v>1317</v>
      </c>
      <c r="F247" t="s">
        <v>1317</v>
      </c>
      <c r="G247" t="s">
        <v>1395</v>
      </c>
      <c r="K247" s="54" t="s">
        <v>822</v>
      </c>
      <c r="L247" s="54" t="s">
        <v>710</v>
      </c>
      <c r="M247" s="54" t="s">
        <v>190</v>
      </c>
      <c r="N247" s="54" t="s">
        <v>1282</v>
      </c>
    </row>
    <row r="248" spans="2:14" x14ac:dyDescent="0.35">
      <c r="B248" t="s">
        <v>1446</v>
      </c>
      <c r="C248" t="s">
        <v>1364</v>
      </c>
      <c r="D248" t="s">
        <v>1394</v>
      </c>
      <c r="E248" t="s">
        <v>1315</v>
      </c>
      <c r="F248" t="s">
        <v>1315</v>
      </c>
      <c r="G248" t="s">
        <v>1391</v>
      </c>
      <c r="K248" s="54" t="s">
        <v>1061</v>
      </c>
      <c r="L248" s="54" t="s">
        <v>491</v>
      </c>
      <c r="M248" s="54" t="s">
        <v>111</v>
      </c>
      <c r="N248" s="54" t="s">
        <v>1297</v>
      </c>
    </row>
    <row r="249" spans="2:14" x14ac:dyDescent="0.35">
      <c r="B249" t="s">
        <v>924</v>
      </c>
      <c r="C249" t="s">
        <v>925</v>
      </c>
      <c r="D249" t="s">
        <v>976</v>
      </c>
      <c r="E249" t="s">
        <v>1293</v>
      </c>
      <c r="F249" t="s">
        <v>1293</v>
      </c>
      <c r="G249" t="s">
        <v>1398</v>
      </c>
      <c r="K249" s="54" t="s">
        <v>1061</v>
      </c>
      <c r="L249" s="54" t="s">
        <v>1108</v>
      </c>
      <c r="M249" s="54" t="s">
        <v>1200</v>
      </c>
      <c r="N249" s="54" t="s">
        <v>1294</v>
      </c>
    </row>
    <row r="250" spans="2:14" x14ac:dyDescent="0.35">
      <c r="B250" t="s">
        <v>1447</v>
      </c>
      <c r="C250" t="s">
        <v>1365</v>
      </c>
      <c r="D250" t="s">
        <v>1394</v>
      </c>
      <c r="E250" t="s">
        <v>1304</v>
      </c>
      <c r="F250" t="s">
        <v>1304</v>
      </c>
      <c r="G250" t="s">
        <v>1395</v>
      </c>
      <c r="K250" s="54" t="s">
        <v>815</v>
      </c>
      <c r="L250" s="54" t="s">
        <v>656</v>
      </c>
      <c r="M250" s="54" t="s">
        <v>52</v>
      </c>
      <c r="N250" s="54" t="s">
        <v>1294</v>
      </c>
    </row>
    <row r="251" spans="2:14" x14ac:dyDescent="0.35">
      <c r="B251" t="s">
        <v>926</v>
      </c>
      <c r="C251" t="s">
        <v>927</v>
      </c>
      <c r="D251" t="s">
        <v>976</v>
      </c>
      <c r="E251" t="s">
        <v>1299</v>
      </c>
      <c r="F251" t="s">
        <v>1299</v>
      </c>
      <c r="G251" t="s">
        <v>1398</v>
      </c>
      <c r="K251" s="54" t="s">
        <v>1061</v>
      </c>
      <c r="L251" s="54" t="s">
        <v>1150</v>
      </c>
      <c r="M251" s="54" t="s">
        <v>955</v>
      </c>
      <c r="N251" s="54" t="s">
        <v>1332</v>
      </c>
    </row>
    <row r="252" spans="2:14" x14ac:dyDescent="0.35">
      <c r="B252" t="s">
        <v>466</v>
      </c>
      <c r="C252" t="s">
        <v>121</v>
      </c>
      <c r="D252" t="s">
        <v>813</v>
      </c>
      <c r="E252" t="s">
        <v>1291</v>
      </c>
      <c r="F252" t="s">
        <v>1409</v>
      </c>
      <c r="G252" t="s">
        <v>1398</v>
      </c>
      <c r="K252" s="54" t="s">
        <v>821</v>
      </c>
      <c r="L252" s="54" t="s">
        <v>624</v>
      </c>
      <c r="M252" s="54" t="s">
        <v>106</v>
      </c>
      <c r="N252" s="54" t="s">
        <v>1312</v>
      </c>
    </row>
    <row r="253" spans="2:14" x14ac:dyDescent="0.35">
      <c r="B253" t="s">
        <v>642</v>
      </c>
      <c r="C253" t="s">
        <v>1218</v>
      </c>
      <c r="D253" t="s">
        <v>810</v>
      </c>
      <c r="E253" t="s">
        <v>1280</v>
      </c>
      <c r="F253" t="s">
        <v>1312</v>
      </c>
      <c r="G253" t="s">
        <v>1395</v>
      </c>
      <c r="K253" s="54" t="s">
        <v>810</v>
      </c>
      <c r="L253" s="54" t="s">
        <v>702</v>
      </c>
      <c r="M253" s="54" t="s">
        <v>159</v>
      </c>
      <c r="N253" s="54" t="s">
        <v>1300</v>
      </c>
    </row>
    <row r="254" spans="2:14" x14ac:dyDescent="0.35">
      <c r="B254" t="s">
        <v>1273</v>
      </c>
      <c r="C254" t="s">
        <v>1218</v>
      </c>
      <c r="D254" t="s">
        <v>810</v>
      </c>
      <c r="E254" t="s">
        <v>1280</v>
      </c>
      <c r="F254" t="s">
        <v>1312</v>
      </c>
      <c r="G254" t="s">
        <v>1395</v>
      </c>
      <c r="K254" s="54" t="s">
        <v>1219</v>
      </c>
      <c r="L254" s="54" t="s">
        <v>1097</v>
      </c>
      <c r="M254" s="54" t="s">
        <v>1203</v>
      </c>
      <c r="N254" s="54" t="s">
        <v>1311</v>
      </c>
    </row>
    <row r="255" spans="2:14" x14ac:dyDescent="0.35">
      <c r="B255" t="s">
        <v>673</v>
      </c>
      <c r="C255" t="s">
        <v>97</v>
      </c>
      <c r="D255" t="s">
        <v>815</v>
      </c>
      <c r="E255" t="s">
        <v>1294</v>
      </c>
      <c r="F255" t="s">
        <v>1294</v>
      </c>
      <c r="G255" t="s">
        <v>1391</v>
      </c>
      <c r="K255" s="54" t="s">
        <v>1219</v>
      </c>
      <c r="L255" s="54" t="s">
        <v>1128</v>
      </c>
      <c r="M255" s="54" t="s">
        <v>1202</v>
      </c>
      <c r="N255" s="54" t="s">
        <v>1312</v>
      </c>
    </row>
    <row r="256" spans="2:14" x14ac:dyDescent="0.35">
      <c r="B256" t="s">
        <v>1015</v>
      </c>
      <c r="C256" t="s">
        <v>175</v>
      </c>
      <c r="D256" t="s">
        <v>1235</v>
      </c>
      <c r="E256" t="s">
        <v>1292</v>
      </c>
      <c r="F256" t="s">
        <v>1294</v>
      </c>
      <c r="G256" t="s">
        <v>1391</v>
      </c>
      <c r="K256" s="54" t="s">
        <v>976</v>
      </c>
      <c r="L256" s="54" t="s">
        <v>906</v>
      </c>
      <c r="M256" s="54" t="s">
        <v>907</v>
      </c>
      <c r="N256" s="54" t="s">
        <v>1282</v>
      </c>
    </row>
    <row r="257" spans="2:14" x14ac:dyDescent="0.35">
      <c r="B257" t="s">
        <v>1448</v>
      </c>
      <c r="C257" t="s">
        <v>1366</v>
      </c>
      <c r="D257" t="s">
        <v>1394</v>
      </c>
      <c r="E257" t="s">
        <v>1296</v>
      </c>
      <c r="F257" t="s">
        <v>1296</v>
      </c>
      <c r="G257" t="s">
        <v>1391</v>
      </c>
      <c r="K257" s="54" t="s">
        <v>829</v>
      </c>
      <c r="L257" s="54" t="s">
        <v>546</v>
      </c>
      <c r="M257" s="54" t="s">
        <v>118</v>
      </c>
      <c r="N257" s="54" t="s">
        <v>1297</v>
      </c>
    </row>
    <row r="258" spans="2:14" x14ac:dyDescent="0.35">
      <c r="B258" t="s">
        <v>622</v>
      </c>
      <c r="C258" t="s">
        <v>184</v>
      </c>
      <c r="D258" t="s">
        <v>1061</v>
      </c>
      <c r="E258" t="s">
        <v>1292</v>
      </c>
      <c r="F258" t="s">
        <v>1323</v>
      </c>
      <c r="G258" t="s">
        <v>1391</v>
      </c>
      <c r="K258" s="54" t="s">
        <v>1061</v>
      </c>
      <c r="L258" s="54" t="s">
        <v>1432</v>
      </c>
      <c r="M258" s="54" t="s">
        <v>71</v>
      </c>
      <c r="N258" s="54" t="s">
        <v>1062</v>
      </c>
    </row>
    <row r="259" spans="2:14" x14ac:dyDescent="0.35">
      <c r="B259" t="s">
        <v>928</v>
      </c>
      <c r="C259" t="s">
        <v>929</v>
      </c>
      <c r="D259" t="s">
        <v>976</v>
      </c>
      <c r="E259" t="s">
        <v>1305</v>
      </c>
      <c r="F259" t="s">
        <v>1328</v>
      </c>
      <c r="G259" t="s">
        <v>1400</v>
      </c>
      <c r="K259" s="54" t="s">
        <v>837</v>
      </c>
      <c r="L259" s="54" t="s">
        <v>746</v>
      </c>
      <c r="M259" s="54" t="s">
        <v>347</v>
      </c>
      <c r="N259" s="54" t="s">
        <v>1282</v>
      </c>
    </row>
    <row r="260" spans="2:14" x14ac:dyDescent="0.35">
      <c r="B260" t="s">
        <v>1017</v>
      </c>
      <c r="C260" t="s">
        <v>143</v>
      </c>
      <c r="D260" t="s">
        <v>828</v>
      </c>
      <c r="E260" t="s">
        <v>1293</v>
      </c>
      <c r="F260" t="s">
        <v>1293</v>
      </c>
      <c r="G260" t="s">
        <v>1398</v>
      </c>
      <c r="K260" s="54" t="s">
        <v>1219</v>
      </c>
      <c r="L260" s="54" t="s">
        <v>1130</v>
      </c>
      <c r="M260" s="54" t="s">
        <v>1173</v>
      </c>
      <c r="N260" s="54" t="s">
        <v>1288</v>
      </c>
    </row>
    <row r="261" spans="2:14" x14ac:dyDescent="0.35">
      <c r="B261" t="s">
        <v>563</v>
      </c>
      <c r="C261" t="s">
        <v>165</v>
      </c>
      <c r="D261" t="s">
        <v>833</v>
      </c>
      <c r="E261" t="s">
        <v>1284</v>
      </c>
      <c r="F261" t="s">
        <v>1396</v>
      </c>
      <c r="G261" t="s">
        <v>1391</v>
      </c>
      <c r="K261" s="54" t="s">
        <v>1223</v>
      </c>
      <c r="L261" s="54" t="s">
        <v>561</v>
      </c>
      <c r="M261" s="54" t="s">
        <v>134</v>
      </c>
      <c r="N261" s="54" t="s">
        <v>1297</v>
      </c>
    </row>
    <row r="262" spans="2:14" x14ac:dyDescent="0.35">
      <c r="B262" t="s">
        <v>1056</v>
      </c>
      <c r="C262" t="s">
        <v>208</v>
      </c>
      <c r="D262" t="s">
        <v>1061</v>
      </c>
      <c r="E262" t="s">
        <v>1314</v>
      </c>
      <c r="F262" t="s">
        <v>1407</v>
      </c>
      <c r="G262" t="s">
        <v>1391</v>
      </c>
      <c r="K262" s="54" t="s">
        <v>817</v>
      </c>
      <c r="L262" s="54" t="s">
        <v>425</v>
      </c>
      <c r="M262" s="54" t="s">
        <v>39</v>
      </c>
      <c r="N262" s="54" t="s">
        <v>1287</v>
      </c>
    </row>
    <row r="263" spans="2:14" x14ac:dyDescent="0.35">
      <c r="B263" t="s">
        <v>1449</v>
      </c>
      <c r="C263" t="s">
        <v>1367</v>
      </c>
      <c r="D263" t="s">
        <v>1394</v>
      </c>
      <c r="E263" t="s">
        <v>1287</v>
      </c>
      <c r="F263" t="s">
        <v>1287</v>
      </c>
      <c r="G263" t="s">
        <v>1398</v>
      </c>
      <c r="K263" s="54" t="s">
        <v>1223</v>
      </c>
      <c r="L263" s="54" t="s">
        <v>567</v>
      </c>
      <c r="M263" s="54" t="s">
        <v>170</v>
      </c>
      <c r="N263" s="54" t="s">
        <v>1294</v>
      </c>
    </row>
    <row r="264" spans="2:14" x14ac:dyDescent="0.35">
      <c r="B264" t="s">
        <v>763</v>
      </c>
      <c r="C264" t="s">
        <v>364</v>
      </c>
      <c r="D264" t="s">
        <v>837</v>
      </c>
      <c r="E264" t="s">
        <v>1283</v>
      </c>
      <c r="F264" t="s">
        <v>1283</v>
      </c>
      <c r="G264" t="s">
        <v>1391</v>
      </c>
      <c r="K264" s="54" t="s">
        <v>1219</v>
      </c>
      <c r="L264" s="54" t="s">
        <v>1120</v>
      </c>
      <c r="M264" s="54" t="s">
        <v>1194</v>
      </c>
      <c r="N264" s="54" t="s">
        <v>1308</v>
      </c>
    </row>
    <row r="265" spans="2:14" x14ac:dyDescent="0.35">
      <c r="B265" t="s">
        <v>1001</v>
      </c>
      <c r="C265" t="s">
        <v>16</v>
      </c>
      <c r="D265" t="s">
        <v>1225</v>
      </c>
      <c r="E265" t="s">
        <v>1291</v>
      </c>
      <c r="F265" t="s">
        <v>1287</v>
      </c>
      <c r="G265" t="s">
        <v>1398</v>
      </c>
      <c r="K265" s="54" t="s">
        <v>815</v>
      </c>
      <c r="L265" s="54" t="s">
        <v>677</v>
      </c>
      <c r="M265" s="54" t="s">
        <v>109</v>
      </c>
      <c r="N265" s="54" t="s">
        <v>1294</v>
      </c>
    </row>
    <row r="266" spans="2:14" x14ac:dyDescent="0.35">
      <c r="B266" t="s">
        <v>557</v>
      </c>
      <c r="C266" t="s">
        <v>262</v>
      </c>
      <c r="D266" t="s">
        <v>1061</v>
      </c>
      <c r="E266" t="s">
        <v>1289</v>
      </c>
      <c r="F266" t="s">
        <v>1289</v>
      </c>
      <c r="G266" t="s">
        <v>1391</v>
      </c>
      <c r="K266" s="54" t="s">
        <v>1219</v>
      </c>
      <c r="L266" s="54" t="s">
        <v>1099</v>
      </c>
      <c r="M266" s="54" t="s">
        <v>1196</v>
      </c>
      <c r="N266" s="54" t="s">
        <v>1311</v>
      </c>
    </row>
    <row r="267" spans="2:14" x14ac:dyDescent="0.35">
      <c r="B267" t="s">
        <v>764</v>
      </c>
      <c r="C267" t="s">
        <v>365</v>
      </c>
      <c r="D267" t="s">
        <v>1061</v>
      </c>
      <c r="E267" t="s">
        <v>1282</v>
      </c>
      <c r="F267" t="s">
        <v>1282</v>
      </c>
      <c r="G267" t="s">
        <v>1391</v>
      </c>
      <c r="K267" s="54" t="s">
        <v>1061</v>
      </c>
      <c r="L267" s="54" t="s">
        <v>871</v>
      </c>
      <c r="M267" s="54" t="s">
        <v>872</v>
      </c>
      <c r="N267" s="54" t="s">
        <v>1283</v>
      </c>
    </row>
    <row r="268" spans="2:14" x14ac:dyDescent="0.35">
      <c r="B268" t="s">
        <v>491</v>
      </c>
      <c r="C268" t="s">
        <v>111</v>
      </c>
      <c r="D268" t="s">
        <v>1061</v>
      </c>
      <c r="E268" t="s">
        <v>1281</v>
      </c>
      <c r="F268" t="s">
        <v>1297</v>
      </c>
      <c r="G268" t="s">
        <v>1398</v>
      </c>
      <c r="K268" s="54" t="s">
        <v>1061</v>
      </c>
      <c r="L268" s="54" t="s">
        <v>400</v>
      </c>
      <c r="M268" s="54" t="s">
        <v>83</v>
      </c>
      <c r="N268" s="54" t="s">
        <v>1289</v>
      </c>
    </row>
    <row r="269" spans="2:14" x14ac:dyDescent="0.35">
      <c r="B269" t="s">
        <v>528</v>
      </c>
      <c r="C269" t="s">
        <v>136</v>
      </c>
      <c r="D269" t="s">
        <v>1221</v>
      </c>
      <c r="E269" t="s">
        <v>1298</v>
      </c>
      <c r="F269" t="s">
        <v>1297</v>
      </c>
      <c r="G269" t="s">
        <v>1395</v>
      </c>
      <c r="K269" s="54" t="s">
        <v>976</v>
      </c>
      <c r="L269" s="54" t="s">
        <v>885</v>
      </c>
      <c r="M269" s="54" t="s">
        <v>886</v>
      </c>
      <c r="N269" s="54" t="s">
        <v>1328</v>
      </c>
    </row>
    <row r="270" spans="2:14" x14ac:dyDescent="0.35">
      <c r="B270" t="s">
        <v>932</v>
      </c>
      <c r="C270" t="s">
        <v>933</v>
      </c>
      <c r="D270" t="s">
        <v>976</v>
      </c>
      <c r="E270" t="s">
        <v>1300</v>
      </c>
      <c r="F270" t="s">
        <v>1300</v>
      </c>
      <c r="G270" t="s">
        <v>1391</v>
      </c>
      <c r="K270" s="54" t="s">
        <v>1219</v>
      </c>
      <c r="L270" s="54" t="s">
        <v>1092</v>
      </c>
      <c r="M270" s="54" t="s">
        <v>1176</v>
      </c>
      <c r="N270" s="54" t="s">
        <v>1303</v>
      </c>
    </row>
    <row r="271" spans="2:14" x14ac:dyDescent="0.35">
      <c r="B271" t="s">
        <v>669</v>
      </c>
      <c r="C271" t="s">
        <v>87</v>
      </c>
      <c r="D271" t="s">
        <v>810</v>
      </c>
      <c r="E271" t="s">
        <v>1291</v>
      </c>
      <c r="F271" t="s">
        <v>1450</v>
      </c>
      <c r="G271" t="s">
        <v>1398</v>
      </c>
      <c r="K271" s="54" t="s">
        <v>837</v>
      </c>
      <c r="L271" s="54" t="s">
        <v>772</v>
      </c>
      <c r="M271" s="54" t="s">
        <v>374</v>
      </c>
      <c r="N271" s="54" t="s">
        <v>1296</v>
      </c>
    </row>
    <row r="272" spans="2:14" x14ac:dyDescent="0.35">
      <c r="B272" t="s">
        <v>388</v>
      </c>
      <c r="C272" t="s">
        <v>1233</v>
      </c>
      <c r="D272" t="s">
        <v>1061</v>
      </c>
      <c r="E272" t="s">
        <v>1286</v>
      </c>
      <c r="F272" t="s">
        <v>1407</v>
      </c>
      <c r="G272" t="s">
        <v>1391</v>
      </c>
      <c r="K272" s="54" t="s">
        <v>836</v>
      </c>
      <c r="L272" s="54" t="s">
        <v>626</v>
      </c>
      <c r="M272" s="54" t="s">
        <v>318</v>
      </c>
      <c r="N272" s="54" t="s">
        <v>1335</v>
      </c>
    </row>
    <row r="273" spans="2:14" x14ac:dyDescent="0.35">
      <c r="B273" t="s">
        <v>1137</v>
      </c>
      <c r="C273" t="s">
        <v>1163</v>
      </c>
      <c r="D273" t="s">
        <v>1219</v>
      </c>
      <c r="E273" t="s">
        <v>1296</v>
      </c>
      <c r="F273" t="s">
        <v>1296</v>
      </c>
      <c r="G273" t="s">
        <v>1398</v>
      </c>
      <c r="K273" s="54" t="s">
        <v>835</v>
      </c>
      <c r="L273" s="54" t="s">
        <v>530</v>
      </c>
      <c r="M273" s="54" t="s">
        <v>1074</v>
      </c>
      <c r="N273" s="54" t="s">
        <v>1062</v>
      </c>
    </row>
    <row r="274" spans="2:14" x14ac:dyDescent="0.35">
      <c r="B274" t="s">
        <v>765</v>
      </c>
      <c r="C274" t="s">
        <v>366</v>
      </c>
      <c r="D274" t="s">
        <v>837</v>
      </c>
      <c r="E274" t="s">
        <v>1297</v>
      </c>
      <c r="F274" t="s">
        <v>1297</v>
      </c>
      <c r="G274" t="s">
        <v>1395</v>
      </c>
      <c r="K274" s="54" t="s">
        <v>822</v>
      </c>
      <c r="L274" s="54" t="s">
        <v>711</v>
      </c>
      <c r="M274" s="54" t="s">
        <v>192</v>
      </c>
      <c r="N274" s="54" t="s">
        <v>1288</v>
      </c>
    </row>
    <row r="275" spans="2:14" x14ac:dyDescent="0.35">
      <c r="B275" t="s">
        <v>481</v>
      </c>
      <c r="C275" t="s">
        <v>102</v>
      </c>
      <c r="D275" t="s">
        <v>827</v>
      </c>
      <c r="E275" t="s">
        <v>1305</v>
      </c>
      <c r="F275" t="s">
        <v>1409</v>
      </c>
      <c r="G275" t="s">
        <v>1400</v>
      </c>
      <c r="K275" s="54" t="s">
        <v>815</v>
      </c>
      <c r="L275" s="54" t="s">
        <v>673</v>
      </c>
      <c r="M275" s="54" t="s">
        <v>97</v>
      </c>
      <c r="N275" s="54" t="s">
        <v>1294</v>
      </c>
    </row>
    <row r="276" spans="2:14" x14ac:dyDescent="0.35">
      <c r="B276" t="s">
        <v>934</v>
      </c>
      <c r="C276" t="s">
        <v>935</v>
      </c>
      <c r="D276" t="s">
        <v>976</v>
      </c>
      <c r="E276" t="s">
        <v>1306</v>
      </c>
      <c r="F276" t="s">
        <v>1329</v>
      </c>
      <c r="G276" t="s">
        <v>1395</v>
      </c>
      <c r="K276" s="54" t="s">
        <v>1235</v>
      </c>
      <c r="L276" s="54" t="s">
        <v>1015</v>
      </c>
      <c r="M276" s="54" t="s">
        <v>175</v>
      </c>
      <c r="N276" s="54" t="s">
        <v>1294</v>
      </c>
    </row>
    <row r="277" spans="2:14" x14ac:dyDescent="0.35">
      <c r="B277" t="s">
        <v>416</v>
      </c>
      <c r="C277" t="s">
        <v>17</v>
      </c>
      <c r="D277" t="s">
        <v>1061</v>
      </c>
      <c r="E277" t="s">
        <v>1291</v>
      </c>
      <c r="F277" t="s">
        <v>1409</v>
      </c>
      <c r="G277" t="s">
        <v>1398</v>
      </c>
      <c r="K277" s="54" t="s">
        <v>976</v>
      </c>
      <c r="L277" s="54" t="s">
        <v>930</v>
      </c>
      <c r="M277" s="54" t="s">
        <v>931</v>
      </c>
      <c r="N277" s="54" t="s">
        <v>1296</v>
      </c>
    </row>
    <row r="278" spans="2:14" x14ac:dyDescent="0.35">
      <c r="B278" t="s">
        <v>624</v>
      </c>
      <c r="C278" t="s">
        <v>106</v>
      </c>
      <c r="D278" t="s">
        <v>821</v>
      </c>
      <c r="E278" t="s">
        <v>1312</v>
      </c>
      <c r="F278" t="s">
        <v>1312</v>
      </c>
      <c r="G278" t="s">
        <v>1395</v>
      </c>
      <c r="K278" s="54" t="s">
        <v>819</v>
      </c>
      <c r="L278" s="54" t="s">
        <v>699</v>
      </c>
      <c r="M278" s="54" t="s">
        <v>147</v>
      </c>
      <c r="N278" s="54" t="s">
        <v>1300</v>
      </c>
    </row>
    <row r="279" spans="2:14" x14ac:dyDescent="0.35">
      <c r="B279" t="s">
        <v>766</v>
      </c>
      <c r="C279" t="s">
        <v>367</v>
      </c>
      <c r="D279" t="s">
        <v>837</v>
      </c>
      <c r="E279" t="s">
        <v>1282</v>
      </c>
      <c r="F279" t="s">
        <v>1282</v>
      </c>
      <c r="G279" t="s">
        <v>1391</v>
      </c>
      <c r="K279" s="54" t="s">
        <v>837</v>
      </c>
      <c r="L279" s="54" t="s">
        <v>779</v>
      </c>
      <c r="M279" s="54" t="s">
        <v>382</v>
      </c>
      <c r="N279" s="54" t="s">
        <v>1297</v>
      </c>
    </row>
    <row r="280" spans="2:14" x14ac:dyDescent="0.35">
      <c r="B280" t="s">
        <v>662</v>
      </c>
      <c r="C280" t="s">
        <v>67</v>
      </c>
      <c r="D280" t="s">
        <v>819</v>
      </c>
      <c r="E280" t="s">
        <v>1295</v>
      </c>
      <c r="F280" t="s">
        <v>1289</v>
      </c>
      <c r="G280" t="s">
        <v>1395</v>
      </c>
      <c r="K280" s="54" t="s">
        <v>1219</v>
      </c>
      <c r="L280" s="54" t="s">
        <v>1100</v>
      </c>
      <c r="M280" s="54" t="s">
        <v>1191</v>
      </c>
      <c r="N280" s="54" t="s">
        <v>1304</v>
      </c>
    </row>
    <row r="281" spans="2:14" x14ac:dyDescent="0.35">
      <c r="B281" t="s">
        <v>690</v>
      </c>
      <c r="C281" t="s">
        <v>131</v>
      </c>
      <c r="D281" t="s">
        <v>822</v>
      </c>
      <c r="E281" t="s">
        <v>1282</v>
      </c>
      <c r="F281" t="s">
        <v>1282</v>
      </c>
      <c r="G281" t="s">
        <v>1391</v>
      </c>
      <c r="K281" s="54" t="s">
        <v>1219</v>
      </c>
      <c r="L281" s="54" t="s">
        <v>1096</v>
      </c>
      <c r="M281" s="54" t="s">
        <v>1189</v>
      </c>
      <c r="N281" s="54" t="s">
        <v>1299</v>
      </c>
    </row>
    <row r="282" spans="2:14" x14ac:dyDescent="0.35">
      <c r="B282" t="s">
        <v>936</v>
      </c>
      <c r="C282" t="s">
        <v>937</v>
      </c>
      <c r="D282" t="s">
        <v>976</v>
      </c>
      <c r="E282" t="s">
        <v>1289</v>
      </c>
      <c r="F282" t="s">
        <v>1289</v>
      </c>
      <c r="G282" t="s">
        <v>1391</v>
      </c>
      <c r="K282" s="54" t="s">
        <v>1219</v>
      </c>
      <c r="L282" s="54" t="s">
        <v>1123</v>
      </c>
      <c r="M282" s="54" t="s">
        <v>1175</v>
      </c>
      <c r="N282" s="54" t="s">
        <v>1289</v>
      </c>
    </row>
    <row r="283" spans="2:14" x14ac:dyDescent="0.35">
      <c r="B283" t="s">
        <v>401</v>
      </c>
      <c r="C283" t="s">
        <v>13</v>
      </c>
      <c r="D283" t="s">
        <v>813</v>
      </c>
      <c r="E283" t="s">
        <v>1295</v>
      </c>
      <c r="F283" t="s">
        <v>1297</v>
      </c>
      <c r="G283" t="s">
        <v>1395</v>
      </c>
      <c r="K283" s="54" t="s">
        <v>1061</v>
      </c>
      <c r="L283" s="54" t="s">
        <v>464</v>
      </c>
      <c r="M283" s="54" t="s">
        <v>114</v>
      </c>
      <c r="N283" s="54" t="s">
        <v>1062</v>
      </c>
    </row>
    <row r="284" spans="2:14" x14ac:dyDescent="0.35">
      <c r="B284" t="s">
        <v>580</v>
      </c>
      <c r="C284" t="s">
        <v>19</v>
      </c>
      <c r="D284" t="s">
        <v>1225</v>
      </c>
      <c r="E284" t="s">
        <v>1287</v>
      </c>
      <c r="F284" t="s">
        <v>1287</v>
      </c>
      <c r="G284" t="s">
        <v>1398</v>
      </c>
      <c r="K284" s="54" t="s">
        <v>1061</v>
      </c>
      <c r="L284" s="54" t="s">
        <v>553</v>
      </c>
      <c r="M284" s="54" t="s">
        <v>47</v>
      </c>
      <c r="N284" s="54" t="s">
        <v>1292</v>
      </c>
    </row>
    <row r="285" spans="2:14" x14ac:dyDescent="0.35">
      <c r="B285" t="s">
        <v>1451</v>
      </c>
      <c r="C285" t="s">
        <v>1368</v>
      </c>
      <c r="D285" t="s">
        <v>1394</v>
      </c>
      <c r="E285" t="s">
        <v>1282</v>
      </c>
      <c r="F285" t="s">
        <v>1282</v>
      </c>
      <c r="G285" t="s">
        <v>1391</v>
      </c>
      <c r="K285" s="54" t="s">
        <v>819</v>
      </c>
      <c r="L285" s="54" t="s">
        <v>1010</v>
      </c>
      <c r="M285" s="54" t="s">
        <v>82</v>
      </c>
      <c r="N285" s="54" t="s">
        <v>1297</v>
      </c>
    </row>
    <row r="286" spans="2:14" x14ac:dyDescent="0.35">
      <c r="B286" t="s">
        <v>1072</v>
      </c>
      <c r="C286" t="s">
        <v>381</v>
      </c>
      <c r="D286" t="s">
        <v>837</v>
      </c>
      <c r="E286" t="s">
        <v>1297</v>
      </c>
      <c r="F286" t="s">
        <v>1297</v>
      </c>
      <c r="G286" t="s">
        <v>1395</v>
      </c>
      <c r="K286" s="54" t="s">
        <v>1219</v>
      </c>
      <c r="L286" s="54" t="s">
        <v>1125</v>
      </c>
      <c r="M286" s="54" t="s">
        <v>1188</v>
      </c>
      <c r="N286" s="54" t="s">
        <v>1305</v>
      </c>
    </row>
    <row r="287" spans="2:14" x14ac:dyDescent="0.35">
      <c r="B287" t="s">
        <v>984</v>
      </c>
      <c r="C287" t="s">
        <v>59</v>
      </c>
      <c r="D287" t="s">
        <v>1061</v>
      </c>
      <c r="E287" t="s">
        <v>1060</v>
      </c>
      <c r="F287" t="s">
        <v>1062</v>
      </c>
      <c r="G287" t="s">
        <v>1395</v>
      </c>
      <c r="K287" s="54" t="s">
        <v>1235</v>
      </c>
      <c r="L287" s="54" t="s">
        <v>999</v>
      </c>
      <c r="M287" s="54" t="s">
        <v>176</v>
      </c>
      <c r="N287" s="54" t="s">
        <v>1293</v>
      </c>
    </row>
    <row r="288" spans="2:14" x14ac:dyDescent="0.35">
      <c r="B288" t="s">
        <v>1452</v>
      </c>
      <c r="C288" t="s">
        <v>1370</v>
      </c>
      <c r="D288" t="s">
        <v>1394</v>
      </c>
      <c r="E288" t="s">
        <v>1297</v>
      </c>
      <c r="F288" t="s">
        <v>1297</v>
      </c>
      <c r="G288" t="s">
        <v>1395</v>
      </c>
      <c r="K288" s="54" t="s">
        <v>1219</v>
      </c>
      <c r="L288" s="54" t="s">
        <v>1103</v>
      </c>
      <c r="M288" s="54" t="s">
        <v>1187</v>
      </c>
      <c r="N288" s="54" t="s">
        <v>1315</v>
      </c>
    </row>
    <row r="289" spans="2:14" x14ac:dyDescent="0.35">
      <c r="B289" t="s">
        <v>940</v>
      </c>
      <c r="C289" t="s">
        <v>941</v>
      </c>
      <c r="D289" t="s">
        <v>837</v>
      </c>
      <c r="E289" t="s">
        <v>1288</v>
      </c>
      <c r="F289" t="s">
        <v>1288</v>
      </c>
      <c r="G289" t="s">
        <v>1398</v>
      </c>
      <c r="K289" s="54" t="s">
        <v>837</v>
      </c>
      <c r="L289" s="54" t="s">
        <v>773</v>
      </c>
      <c r="M289" s="54" t="s">
        <v>375</v>
      </c>
      <c r="N289" s="54" t="s">
        <v>1288</v>
      </c>
    </row>
    <row r="290" spans="2:14" x14ac:dyDescent="0.35">
      <c r="B290" t="s">
        <v>692</v>
      </c>
      <c r="C290" t="s">
        <v>133</v>
      </c>
      <c r="D290" t="s">
        <v>822</v>
      </c>
      <c r="E290" t="s">
        <v>1299</v>
      </c>
      <c r="F290" t="s">
        <v>1299</v>
      </c>
      <c r="G290" t="s">
        <v>1398</v>
      </c>
      <c r="K290" s="54" t="s">
        <v>976</v>
      </c>
      <c r="L290" s="54" t="s">
        <v>934</v>
      </c>
      <c r="M290" s="54" t="s">
        <v>935</v>
      </c>
      <c r="N290" s="54" t="s">
        <v>1329</v>
      </c>
    </row>
    <row r="291" spans="2:14" x14ac:dyDescent="0.35">
      <c r="B291" t="s">
        <v>535</v>
      </c>
      <c r="C291" t="s">
        <v>168</v>
      </c>
      <c r="D291" t="s">
        <v>834</v>
      </c>
      <c r="E291" t="s">
        <v>1303</v>
      </c>
      <c r="F291" t="s">
        <v>1303</v>
      </c>
      <c r="G291" t="s">
        <v>1395</v>
      </c>
      <c r="K291" s="54" t="s">
        <v>1061</v>
      </c>
      <c r="L291" s="54" t="s">
        <v>435</v>
      </c>
      <c r="M291" s="54" t="s">
        <v>56</v>
      </c>
      <c r="N291" s="54" t="s">
        <v>1297</v>
      </c>
    </row>
    <row r="292" spans="2:14" x14ac:dyDescent="0.35">
      <c r="B292" t="s">
        <v>994</v>
      </c>
      <c r="C292" t="s">
        <v>4</v>
      </c>
      <c r="D292" t="s">
        <v>1061</v>
      </c>
      <c r="E292" t="s">
        <v>1287</v>
      </c>
      <c r="F292" t="s">
        <v>1396</v>
      </c>
      <c r="G292" t="s">
        <v>1398</v>
      </c>
      <c r="K292" s="54" t="s">
        <v>1219</v>
      </c>
      <c r="L292" s="54" t="s">
        <v>1131</v>
      </c>
      <c r="M292" s="54" t="s">
        <v>1186</v>
      </c>
      <c r="N292" s="54" t="s">
        <v>1288</v>
      </c>
    </row>
    <row r="293" spans="2:14" x14ac:dyDescent="0.35">
      <c r="B293" t="s">
        <v>398</v>
      </c>
      <c r="C293" t="s">
        <v>4</v>
      </c>
      <c r="D293" t="s">
        <v>1061</v>
      </c>
      <c r="E293" t="s">
        <v>1287</v>
      </c>
      <c r="F293" t="s">
        <v>1396</v>
      </c>
      <c r="G293" t="s">
        <v>1398</v>
      </c>
      <c r="K293" s="54" t="s">
        <v>1061</v>
      </c>
      <c r="L293" s="54" t="s">
        <v>1030</v>
      </c>
      <c r="M293" s="54" t="s">
        <v>158</v>
      </c>
      <c r="N293" s="54" t="s">
        <v>1292</v>
      </c>
    </row>
    <row r="294" spans="2:14" x14ac:dyDescent="0.35">
      <c r="B294" t="s">
        <v>397</v>
      </c>
      <c r="C294" t="s">
        <v>174</v>
      </c>
      <c r="D294" t="s">
        <v>1061</v>
      </c>
      <c r="E294" t="s">
        <v>1286</v>
      </c>
      <c r="F294" t="s">
        <v>1289</v>
      </c>
      <c r="G294" t="s">
        <v>1391</v>
      </c>
      <c r="K294" s="54" t="s">
        <v>834</v>
      </c>
      <c r="L294" s="54" t="s">
        <v>519</v>
      </c>
      <c r="M294" s="54" t="s">
        <v>196</v>
      </c>
      <c r="N294" s="54" t="s">
        <v>1287</v>
      </c>
    </row>
    <row r="295" spans="2:14" x14ac:dyDescent="0.35">
      <c r="B295" t="s">
        <v>1147</v>
      </c>
      <c r="C295" t="s">
        <v>1251</v>
      </c>
      <c r="D295" t="s">
        <v>1219</v>
      </c>
      <c r="E295" t="s">
        <v>1283</v>
      </c>
      <c r="F295" t="s">
        <v>1283</v>
      </c>
      <c r="G295" t="s">
        <v>1391</v>
      </c>
      <c r="K295" s="54" t="s">
        <v>976</v>
      </c>
      <c r="L295" s="54" t="s">
        <v>1080</v>
      </c>
      <c r="M295" s="54" t="s">
        <v>1184</v>
      </c>
      <c r="N295" s="54" t="s">
        <v>1287</v>
      </c>
    </row>
    <row r="296" spans="2:14" x14ac:dyDescent="0.35">
      <c r="B296" t="s">
        <v>999</v>
      </c>
      <c r="C296" t="s">
        <v>176</v>
      </c>
      <c r="D296" t="s">
        <v>1235</v>
      </c>
      <c r="E296" t="s">
        <v>1293</v>
      </c>
      <c r="F296" t="s">
        <v>1293</v>
      </c>
      <c r="G296" t="s">
        <v>1398</v>
      </c>
      <c r="K296" s="54" t="s">
        <v>819</v>
      </c>
      <c r="L296" s="54" t="s">
        <v>660</v>
      </c>
      <c r="M296" s="54" t="s">
        <v>63</v>
      </c>
      <c r="N296" s="54" t="s">
        <v>1293</v>
      </c>
    </row>
    <row r="297" spans="2:14" x14ac:dyDescent="0.35">
      <c r="B297" t="s">
        <v>1453</v>
      </c>
      <c r="C297" t="s">
        <v>1371</v>
      </c>
      <c r="D297" t="s">
        <v>1394</v>
      </c>
      <c r="E297" t="s">
        <v>1300</v>
      </c>
      <c r="F297" t="s">
        <v>1300</v>
      </c>
      <c r="G297" t="s">
        <v>1391</v>
      </c>
      <c r="K297" s="54" t="s">
        <v>1219</v>
      </c>
      <c r="L297" s="54" t="s">
        <v>1136</v>
      </c>
      <c r="M297" s="54" t="s">
        <v>1183</v>
      </c>
      <c r="N297" s="54" t="s">
        <v>1288</v>
      </c>
    </row>
    <row r="298" spans="2:14" x14ac:dyDescent="0.35">
      <c r="B298" t="s">
        <v>655</v>
      </c>
      <c r="C298" t="s">
        <v>42</v>
      </c>
      <c r="D298" t="s">
        <v>815</v>
      </c>
      <c r="E298" t="s">
        <v>1300</v>
      </c>
      <c r="F298" t="s">
        <v>1300</v>
      </c>
      <c r="G298" t="s">
        <v>1391</v>
      </c>
      <c r="K298" s="54" t="s">
        <v>976</v>
      </c>
      <c r="L298" s="54" t="s">
        <v>902</v>
      </c>
      <c r="M298" s="54" t="s">
        <v>903</v>
      </c>
      <c r="N298" s="54" t="s">
        <v>1300</v>
      </c>
    </row>
    <row r="299" spans="2:14" x14ac:dyDescent="0.35">
      <c r="B299" t="s">
        <v>767</v>
      </c>
      <c r="C299" t="s">
        <v>368</v>
      </c>
      <c r="D299" t="s">
        <v>1061</v>
      </c>
      <c r="E299" t="s">
        <v>1062</v>
      </c>
      <c r="F299" t="s">
        <v>1062</v>
      </c>
      <c r="G299" t="s">
        <v>1391</v>
      </c>
      <c r="K299" s="54" t="s">
        <v>1223</v>
      </c>
      <c r="L299" s="54" t="s">
        <v>549</v>
      </c>
      <c r="M299" s="54" t="s">
        <v>38</v>
      </c>
      <c r="N299" s="54" t="s">
        <v>1293</v>
      </c>
    </row>
    <row r="300" spans="2:14" x14ac:dyDescent="0.35">
      <c r="B300" t="s">
        <v>1454</v>
      </c>
      <c r="C300" t="s">
        <v>1372</v>
      </c>
      <c r="D300" t="s">
        <v>1394</v>
      </c>
      <c r="E300" t="s">
        <v>1062</v>
      </c>
      <c r="F300" t="s">
        <v>1062</v>
      </c>
      <c r="G300" t="s">
        <v>1400</v>
      </c>
      <c r="K300" s="54" t="s">
        <v>1235</v>
      </c>
      <c r="L300" s="54" t="s">
        <v>1121</v>
      </c>
      <c r="M300" s="54" t="s">
        <v>1166</v>
      </c>
      <c r="N300" s="54" t="s">
        <v>1289</v>
      </c>
    </row>
    <row r="301" spans="2:14" x14ac:dyDescent="0.35">
      <c r="B301" t="s">
        <v>1455</v>
      </c>
      <c r="C301" t="s">
        <v>1369</v>
      </c>
      <c r="D301" t="s">
        <v>1394</v>
      </c>
      <c r="E301" t="s">
        <v>1311</v>
      </c>
      <c r="F301" t="s">
        <v>1311</v>
      </c>
      <c r="G301" t="s">
        <v>1398</v>
      </c>
      <c r="K301" s="54" t="s">
        <v>819</v>
      </c>
      <c r="L301" s="54" t="s">
        <v>697</v>
      </c>
      <c r="M301" s="54" t="s">
        <v>141</v>
      </c>
      <c r="N301" s="54" t="s">
        <v>1303</v>
      </c>
    </row>
    <row r="302" spans="2:14" x14ac:dyDescent="0.35">
      <c r="B302" t="s">
        <v>1085</v>
      </c>
      <c r="C302" t="s">
        <v>1160</v>
      </c>
      <c r="D302" t="s">
        <v>1219</v>
      </c>
      <c r="E302" t="s">
        <v>1062</v>
      </c>
      <c r="F302" t="s">
        <v>1062</v>
      </c>
      <c r="G302" t="s">
        <v>1400</v>
      </c>
      <c r="K302" s="54" t="s">
        <v>827</v>
      </c>
      <c r="L302" s="54" t="s">
        <v>455</v>
      </c>
      <c r="M302" s="54" t="s">
        <v>58</v>
      </c>
      <c r="N302" s="54" t="s">
        <v>1062</v>
      </c>
    </row>
    <row r="303" spans="2:14" x14ac:dyDescent="0.35">
      <c r="B303" t="s">
        <v>631</v>
      </c>
      <c r="C303" t="s">
        <v>70</v>
      </c>
      <c r="D303" t="s">
        <v>821</v>
      </c>
      <c r="E303" t="s">
        <v>1295</v>
      </c>
      <c r="F303" t="s">
        <v>1297</v>
      </c>
      <c r="G303" t="s">
        <v>1395</v>
      </c>
      <c r="K303" s="54" t="s">
        <v>976</v>
      </c>
      <c r="L303" s="54" t="s">
        <v>879</v>
      </c>
      <c r="M303" s="54" t="s">
        <v>880</v>
      </c>
      <c r="N303" s="54" t="s">
        <v>1301</v>
      </c>
    </row>
    <row r="304" spans="2:14" x14ac:dyDescent="0.35">
      <c r="B304" t="s">
        <v>1131</v>
      </c>
      <c r="C304" t="s">
        <v>1186</v>
      </c>
      <c r="D304" t="s">
        <v>1219</v>
      </c>
      <c r="E304" t="s">
        <v>1288</v>
      </c>
      <c r="F304" t="s">
        <v>1288</v>
      </c>
      <c r="G304" t="s">
        <v>1398</v>
      </c>
      <c r="K304" s="54" t="s">
        <v>1225</v>
      </c>
      <c r="L304" s="54" t="s">
        <v>565</v>
      </c>
      <c r="M304" s="54" t="s">
        <v>62</v>
      </c>
      <c r="N304" s="54" t="s">
        <v>1312</v>
      </c>
    </row>
    <row r="305" spans="2:14" x14ac:dyDescent="0.35">
      <c r="B305" t="s">
        <v>768</v>
      </c>
      <c r="C305" t="s">
        <v>369</v>
      </c>
      <c r="D305" t="s">
        <v>837</v>
      </c>
      <c r="E305" t="s">
        <v>1283</v>
      </c>
      <c r="F305" t="s">
        <v>1283</v>
      </c>
      <c r="G305" t="s">
        <v>1391</v>
      </c>
      <c r="K305" s="54" t="s">
        <v>1219</v>
      </c>
      <c r="L305" s="54" t="s">
        <v>1107</v>
      </c>
      <c r="M305" s="54" t="s">
        <v>1168</v>
      </c>
      <c r="N305" s="54" t="s">
        <v>1317</v>
      </c>
    </row>
    <row r="306" spans="2:14" x14ac:dyDescent="0.35">
      <c r="B306" t="s">
        <v>1109</v>
      </c>
      <c r="C306" t="s">
        <v>1214</v>
      </c>
      <c r="D306" t="s">
        <v>1267</v>
      </c>
      <c r="E306" t="s">
        <v>1294</v>
      </c>
      <c r="F306" t="s">
        <v>1294</v>
      </c>
      <c r="G306" t="s">
        <v>1391</v>
      </c>
      <c r="K306" s="54" t="s">
        <v>1061</v>
      </c>
      <c r="L306" s="54" t="s">
        <v>1149</v>
      </c>
      <c r="M306" s="54" t="s">
        <v>891</v>
      </c>
      <c r="N306" s="54" t="s">
        <v>1302</v>
      </c>
    </row>
    <row r="307" spans="2:14" x14ac:dyDescent="0.35">
      <c r="B307" t="s">
        <v>489</v>
      </c>
      <c r="C307" t="s">
        <v>98</v>
      </c>
      <c r="D307" t="s">
        <v>1061</v>
      </c>
      <c r="E307" t="s">
        <v>1290</v>
      </c>
      <c r="F307" t="s">
        <v>1396</v>
      </c>
      <c r="G307" t="s">
        <v>1391</v>
      </c>
      <c r="K307" s="54" t="s">
        <v>1061</v>
      </c>
      <c r="L307" s="54" t="s">
        <v>982</v>
      </c>
      <c r="M307" s="54" t="s">
        <v>214</v>
      </c>
      <c r="N307" s="54" t="s">
        <v>1295</v>
      </c>
    </row>
    <row r="308" spans="2:14" x14ac:dyDescent="0.35">
      <c r="B308" t="s">
        <v>1456</v>
      </c>
      <c r="C308" t="s">
        <v>1373</v>
      </c>
      <c r="D308" t="s">
        <v>1394</v>
      </c>
      <c r="E308" t="s">
        <v>1288</v>
      </c>
      <c r="F308" t="s">
        <v>1288</v>
      </c>
      <c r="G308" t="s">
        <v>1398</v>
      </c>
      <c r="K308" s="54" t="s">
        <v>825</v>
      </c>
      <c r="L308" s="54" t="s">
        <v>599</v>
      </c>
      <c r="M308" s="54" t="s">
        <v>49</v>
      </c>
      <c r="N308" s="54" t="s">
        <v>1297</v>
      </c>
    </row>
    <row r="309" spans="2:14" x14ac:dyDescent="0.35">
      <c r="B309" t="s">
        <v>625</v>
      </c>
      <c r="C309" t="s">
        <v>51</v>
      </c>
      <c r="D309" t="s">
        <v>826</v>
      </c>
      <c r="E309" t="s">
        <v>1287</v>
      </c>
      <c r="F309" t="s">
        <v>1287</v>
      </c>
      <c r="G309" t="s">
        <v>1398</v>
      </c>
      <c r="K309" s="54" t="s">
        <v>976</v>
      </c>
      <c r="L309" s="54" t="s">
        <v>910</v>
      </c>
      <c r="M309" s="54" t="s">
        <v>911</v>
      </c>
      <c r="N309" s="54" t="s">
        <v>1301</v>
      </c>
    </row>
    <row r="310" spans="2:14" x14ac:dyDescent="0.35">
      <c r="B310" t="s">
        <v>672</v>
      </c>
      <c r="C310" t="s">
        <v>93</v>
      </c>
      <c r="D310" t="s">
        <v>822</v>
      </c>
      <c r="E310" t="s">
        <v>1281</v>
      </c>
      <c r="F310" t="s">
        <v>1300</v>
      </c>
      <c r="G310" t="s">
        <v>1395</v>
      </c>
      <c r="K310" s="54" t="s">
        <v>815</v>
      </c>
      <c r="L310" s="54" t="s">
        <v>680</v>
      </c>
      <c r="M310" s="54" t="s">
        <v>115</v>
      </c>
      <c r="N310" s="54" t="s">
        <v>1289</v>
      </c>
    </row>
    <row r="311" spans="2:14" x14ac:dyDescent="0.35">
      <c r="B311" t="s">
        <v>672</v>
      </c>
      <c r="C311" t="s">
        <v>370</v>
      </c>
      <c r="D311" t="s">
        <v>822</v>
      </c>
      <c r="E311" t="s">
        <v>1281</v>
      </c>
      <c r="F311" t="s">
        <v>1300</v>
      </c>
      <c r="G311" t="s">
        <v>1395</v>
      </c>
      <c r="K311" s="54" t="s">
        <v>1061</v>
      </c>
      <c r="L311" s="54" t="s">
        <v>707</v>
      </c>
      <c r="M311" s="54" t="s">
        <v>172</v>
      </c>
      <c r="N311" s="54" t="s">
        <v>1297</v>
      </c>
    </row>
    <row r="312" spans="2:14" x14ac:dyDescent="0.35">
      <c r="B312" t="s">
        <v>643</v>
      </c>
      <c r="C312" t="s">
        <v>5</v>
      </c>
      <c r="D312" t="s">
        <v>1061</v>
      </c>
      <c r="E312" t="s">
        <v>1281</v>
      </c>
      <c r="F312" t="s">
        <v>1312</v>
      </c>
      <c r="G312" t="s">
        <v>1395</v>
      </c>
      <c r="K312" s="54" t="s">
        <v>836</v>
      </c>
      <c r="L312" s="54" t="s">
        <v>615</v>
      </c>
      <c r="M312" s="54" t="s">
        <v>205</v>
      </c>
      <c r="N312" s="54" t="s">
        <v>1294</v>
      </c>
    </row>
    <row r="313" spans="2:14" x14ac:dyDescent="0.35">
      <c r="B313" t="s">
        <v>702</v>
      </c>
      <c r="C313" t="s">
        <v>159</v>
      </c>
      <c r="D313" t="s">
        <v>810</v>
      </c>
      <c r="E313" t="s">
        <v>1300</v>
      </c>
      <c r="F313" t="s">
        <v>1300</v>
      </c>
      <c r="G313" t="s">
        <v>1391</v>
      </c>
      <c r="K313" s="54" t="s">
        <v>1061</v>
      </c>
      <c r="L313" s="54" t="s">
        <v>479</v>
      </c>
      <c r="M313" s="54" t="s">
        <v>24</v>
      </c>
      <c r="N313" s="54" t="s">
        <v>1297</v>
      </c>
    </row>
    <row r="314" spans="2:14" x14ac:dyDescent="0.35">
      <c r="B314" t="s">
        <v>1105</v>
      </c>
      <c r="C314" t="s">
        <v>1182</v>
      </c>
      <c r="D314" t="s">
        <v>1219</v>
      </c>
      <c r="E314" t="s">
        <v>1283</v>
      </c>
      <c r="F314" t="s">
        <v>1283</v>
      </c>
      <c r="G314" t="s">
        <v>1391</v>
      </c>
      <c r="K314" s="54" t="s">
        <v>828</v>
      </c>
      <c r="L314" s="54" t="s">
        <v>616</v>
      </c>
      <c r="M314" s="54" t="s">
        <v>74</v>
      </c>
      <c r="N314" s="54" t="s">
        <v>1303</v>
      </c>
    </row>
    <row r="315" spans="2:14" x14ac:dyDescent="0.35">
      <c r="B315" t="s">
        <v>1457</v>
      </c>
      <c r="C315" t="s">
        <v>1374</v>
      </c>
      <c r="D315" t="s">
        <v>1394</v>
      </c>
      <c r="E315" t="s">
        <v>1404</v>
      </c>
      <c r="F315" t="s">
        <v>1404</v>
      </c>
      <c r="G315" t="s">
        <v>1395</v>
      </c>
      <c r="K315" s="54" t="s">
        <v>821</v>
      </c>
      <c r="L315" s="54" t="s">
        <v>640</v>
      </c>
      <c r="M315" s="54" t="s">
        <v>50</v>
      </c>
      <c r="N315" s="54" t="s">
        <v>1293</v>
      </c>
    </row>
    <row r="316" spans="2:14" x14ac:dyDescent="0.35">
      <c r="B316" t="s">
        <v>635</v>
      </c>
      <c r="C316" t="s">
        <v>125</v>
      </c>
      <c r="D316" t="s">
        <v>821</v>
      </c>
      <c r="E316" t="s">
        <v>1312</v>
      </c>
      <c r="F316" t="s">
        <v>1312</v>
      </c>
      <c r="G316" t="s">
        <v>1395</v>
      </c>
      <c r="K316" s="54" t="s">
        <v>817</v>
      </c>
      <c r="L316" s="54" t="s">
        <v>442</v>
      </c>
      <c r="M316" s="54" t="s">
        <v>45</v>
      </c>
      <c r="N316" s="54" t="s">
        <v>1292</v>
      </c>
    </row>
    <row r="317" spans="2:14" x14ac:dyDescent="0.35">
      <c r="B317" t="s">
        <v>1040</v>
      </c>
      <c r="C317" t="s">
        <v>125</v>
      </c>
      <c r="D317" t="s">
        <v>821</v>
      </c>
      <c r="E317" t="s">
        <v>1312</v>
      </c>
      <c r="F317" t="s">
        <v>1312</v>
      </c>
      <c r="G317" t="s">
        <v>1395</v>
      </c>
      <c r="K317" s="54" t="s">
        <v>1219</v>
      </c>
      <c r="L317" s="54" t="s">
        <v>1088</v>
      </c>
      <c r="M317" s="54" t="s">
        <v>1089</v>
      </c>
      <c r="N317" s="54" t="s">
        <v>1315</v>
      </c>
    </row>
    <row r="318" spans="2:14" x14ac:dyDescent="0.35">
      <c r="B318" t="s">
        <v>1111</v>
      </c>
      <c r="C318" t="s">
        <v>1164</v>
      </c>
      <c r="D318" t="s">
        <v>1219</v>
      </c>
      <c r="E318" t="s">
        <v>1289</v>
      </c>
      <c r="F318" t="s">
        <v>1289</v>
      </c>
      <c r="G318" t="s">
        <v>1391</v>
      </c>
      <c r="K318" s="54" t="s">
        <v>819</v>
      </c>
      <c r="L318" s="54" t="s">
        <v>713</v>
      </c>
      <c r="M318" s="54" t="s">
        <v>195</v>
      </c>
      <c r="N318" s="54" t="s">
        <v>1303</v>
      </c>
    </row>
    <row r="319" spans="2:14" x14ac:dyDescent="0.35">
      <c r="B319" t="s">
        <v>626</v>
      </c>
      <c r="C319" t="s">
        <v>318</v>
      </c>
      <c r="D319" t="s">
        <v>836</v>
      </c>
      <c r="E319" t="s">
        <v>1291</v>
      </c>
      <c r="F319" t="s">
        <v>1335</v>
      </c>
      <c r="G319" t="s">
        <v>1398</v>
      </c>
      <c r="K319" s="54" t="s">
        <v>837</v>
      </c>
      <c r="L319" s="54" t="s">
        <v>750</v>
      </c>
      <c r="M319" s="54" t="s">
        <v>351</v>
      </c>
      <c r="N319" s="54" t="s">
        <v>1297</v>
      </c>
    </row>
    <row r="320" spans="2:14" x14ac:dyDescent="0.35">
      <c r="B320" t="s">
        <v>484</v>
      </c>
      <c r="C320" t="s">
        <v>1256</v>
      </c>
      <c r="D320" t="s">
        <v>813</v>
      </c>
      <c r="E320" t="s">
        <v>1292</v>
      </c>
      <c r="F320" t="s">
        <v>1396</v>
      </c>
      <c r="G320" t="s">
        <v>1391</v>
      </c>
      <c r="K320" s="54" t="s">
        <v>976</v>
      </c>
      <c r="L320" s="54" t="s">
        <v>920</v>
      </c>
      <c r="M320" s="54" t="s">
        <v>921</v>
      </c>
      <c r="N320" s="54" t="s">
        <v>1303</v>
      </c>
    </row>
    <row r="321" spans="2:14" x14ac:dyDescent="0.35">
      <c r="B321" t="s">
        <v>498</v>
      </c>
      <c r="C321" t="s">
        <v>142</v>
      </c>
      <c r="D321" t="s">
        <v>1061</v>
      </c>
      <c r="E321" t="s">
        <v>1294</v>
      </c>
      <c r="F321" t="s">
        <v>1294</v>
      </c>
      <c r="G321" t="s">
        <v>1391</v>
      </c>
      <c r="K321" s="54" t="s">
        <v>837</v>
      </c>
      <c r="L321" s="54" t="s">
        <v>776</v>
      </c>
      <c r="M321" s="54" t="s">
        <v>378</v>
      </c>
      <c r="N321" s="54" t="s">
        <v>1301</v>
      </c>
    </row>
    <row r="322" spans="2:14" x14ac:dyDescent="0.35">
      <c r="B322" t="s">
        <v>770</v>
      </c>
      <c r="C322" t="s">
        <v>372</v>
      </c>
      <c r="D322" t="s">
        <v>837</v>
      </c>
      <c r="E322" t="s">
        <v>1282</v>
      </c>
      <c r="F322" t="s">
        <v>1282</v>
      </c>
      <c r="G322" t="s">
        <v>1391</v>
      </c>
      <c r="K322" s="54" t="s">
        <v>821</v>
      </c>
      <c r="L322" s="54" t="s">
        <v>636</v>
      </c>
      <c r="M322" s="54" t="s">
        <v>31</v>
      </c>
      <c r="N322" s="54" t="s">
        <v>1289</v>
      </c>
    </row>
    <row r="323" spans="2:14" x14ac:dyDescent="0.35">
      <c r="B323" t="s">
        <v>1458</v>
      </c>
      <c r="C323" t="s">
        <v>1375</v>
      </c>
      <c r="D323" t="s">
        <v>1394</v>
      </c>
      <c r="E323" t="s">
        <v>1288</v>
      </c>
      <c r="F323" t="s">
        <v>1288</v>
      </c>
      <c r="G323" t="s">
        <v>1398</v>
      </c>
      <c r="K323" s="54" t="s">
        <v>1061</v>
      </c>
      <c r="L323" s="54" t="s">
        <v>416</v>
      </c>
      <c r="M323" s="54" t="s">
        <v>17</v>
      </c>
      <c r="N323" s="54" t="s">
        <v>1409</v>
      </c>
    </row>
    <row r="324" spans="2:14" x14ac:dyDescent="0.35">
      <c r="B324" t="s">
        <v>1108</v>
      </c>
      <c r="C324" t="s">
        <v>1200</v>
      </c>
      <c r="D324" t="s">
        <v>1061</v>
      </c>
      <c r="E324" t="s">
        <v>1294</v>
      </c>
      <c r="F324" t="s">
        <v>1294</v>
      </c>
      <c r="G324" t="s">
        <v>1391</v>
      </c>
      <c r="K324" s="54" t="s">
        <v>976</v>
      </c>
      <c r="L324" s="54" t="s">
        <v>936</v>
      </c>
      <c r="M324" s="54" t="s">
        <v>937</v>
      </c>
      <c r="N324" s="54" t="s">
        <v>1289</v>
      </c>
    </row>
    <row r="325" spans="2:14" x14ac:dyDescent="0.35">
      <c r="B325" t="s">
        <v>661</v>
      </c>
      <c r="C325" t="s">
        <v>995</v>
      </c>
      <c r="D325" t="s">
        <v>819</v>
      </c>
      <c r="E325" t="s">
        <v>1285</v>
      </c>
      <c r="F325" t="s">
        <v>1289</v>
      </c>
      <c r="G325" t="s">
        <v>1391</v>
      </c>
      <c r="K325" s="54" t="s">
        <v>821</v>
      </c>
      <c r="L325" s="54" t="s">
        <v>633</v>
      </c>
      <c r="M325" s="54" t="s">
        <v>84</v>
      </c>
      <c r="N325" s="54" t="s">
        <v>1289</v>
      </c>
    </row>
    <row r="326" spans="2:14" x14ac:dyDescent="0.35">
      <c r="B326" t="s">
        <v>460</v>
      </c>
      <c r="C326" t="s">
        <v>1257</v>
      </c>
      <c r="D326" t="s">
        <v>1061</v>
      </c>
      <c r="E326" t="s">
        <v>1305</v>
      </c>
      <c r="F326" t="s">
        <v>1062</v>
      </c>
      <c r="G326" t="s">
        <v>1400</v>
      </c>
      <c r="K326" s="54" t="s">
        <v>1061</v>
      </c>
      <c r="L326" s="54" t="s">
        <v>473</v>
      </c>
      <c r="M326" s="54" t="s">
        <v>55</v>
      </c>
      <c r="N326" s="54" t="s">
        <v>1062</v>
      </c>
    </row>
    <row r="327" spans="2:14" x14ac:dyDescent="0.35">
      <c r="B327" t="s">
        <v>1459</v>
      </c>
      <c r="C327" t="s">
        <v>1376</v>
      </c>
      <c r="D327" t="s">
        <v>1394</v>
      </c>
      <c r="E327" t="s">
        <v>1289</v>
      </c>
      <c r="F327" t="s">
        <v>1289</v>
      </c>
      <c r="G327" t="s">
        <v>1391</v>
      </c>
      <c r="K327" s="54" t="s">
        <v>828</v>
      </c>
      <c r="L327" s="54" t="s">
        <v>722</v>
      </c>
      <c r="M327" s="54" t="s">
        <v>269</v>
      </c>
      <c r="N327" s="54" t="s">
        <v>1294</v>
      </c>
    </row>
    <row r="328" spans="2:14" x14ac:dyDescent="0.35">
      <c r="B328" t="s">
        <v>666</v>
      </c>
      <c r="C328" t="s">
        <v>79</v>
      </c>
      <c r="D328" t="s">
        <v>822</v>
      </c>
      <c r="E328" t="s">
        <v>1288</v>
      </c>
      <c r="F328" t="s">
        <v>1288</v>
      </c>
      <c r="G328" t="s">
        <v>1398</v>
      </c>
      <c r="K328" s="54" t="s">
        <v>1061</v>
      </c>
      <c r="L328" s="54" t="s">
        <v>1079</v>
      </c>
      <c r="M328" s="54" t="s">
        <v>1157</v>
      </c>
      <c r="N328" s="54" t="s">
        <v>1283</v>
      </c>
    </row>
    <row r="329" spans="2:14" x14ac:dyDescent="0.35">
      <c r="B329" t="s">
        <v>1460</v>
      </c>
      <c r="C329" t="s">
        <v>1377</v>
      </c>
      <c r="D329" t="s">
        <v>1394</v>
      </c>
      <c r="E329" t="s">
        <v>1306</v>
      </c>
      <c r="F329" t="s">
        <v>1306</v>
      </c>
      <c r="G329" t="s">
        <v>1395</v>
      </c>
      <c r="K329" s="54" t="s">
        <v>1061</v>
      </c>
      <c r="L329" s="54" t="s">
        <v>1004</v>
      </c>
      <c r="M329" s="54" t="s">
        <v>37</v>
      </c>
      <c r="N329" s="54" t="s">
        <v>1060</v>
      </c>
    </row>
    <row r="330" spans="2:14" x14ac:dyDescent="0.35">
      <c r="B330" t="s">
        <v>989</v>
      </c>
      <c r="C330" t="s">
        <v>6</v>
      </c>
      <c r="D330" t="s">
        <v>811</v>
      </c>
      <c r="E330" t="s">
        <v>1286</v>
      </c>
      <c r="F330" t="s">
        <v>1062</v>
      </c>
      <c r="G330" t="s">
        <v>1391</v>
      </c>
      <c r="K330" s="54" t="s">
        <v>1219</v>
      </c>
      <c r="L330" s="54" t="s">
        <v>1104</v>
      </c>
      <c r="M330" s="54" t="s">
        <v>1172</v>
      </c>
      <c r="N330" s="54" t="s">
        <v>1283</v>
      </c>
    </row>
    <row r="331" spans="2:14" x14ac:dyDescent="0.35">
      <c r="B331" t="s">
        <v>390</v>
      </c>
      <c r="C331" t="s">
        <v>6</v>
      </c>
      <c r="D331" t="s">
        <v>811</v>
      </c>
      <c r="E331" t="s">
        <v>1286</v>
      </c>
      <c r="F331" t="s">
        <v>1062</v>
      </c>
      <c r="G331" t="s">
        <v>1391</v>
      </c>
      <c r="K331" s="54" t="s">
        <v>1219</v>
      </c>
      <c r="L331" s="54" t="s">
        <v>1140</v>
      </c>
      <c r="M331" s="54" t="s">
        <v>1171</v>
      </c>
      <c r="N331" s="54" t="s">
        <v>1303</v>
      </c>
    </row>
    <row r="332" spans="2:14" x14ac:dyDescent="0.35">
      <c r="B332" t="s">
        <v>981</v>
      </c>
      <c r="C332" t="s">
        <v>6</v>
      </c>
      <c r="D332" t="s">
        <v>811</v>
      </c>
      <c r="E332" t="s">
        <v>1286</v>
      </c>
      <c r="F332" t="s">
        <v>1062</v>
      </c>
      <c r="G332" t="s">
        <v>1391</v>
      </c>
      <c r="K332" s="54" t="s">
        <v>817</v>
      </c>
      <c r="L332" s="54" t="s">
        <v>795</v>
      </c>
      <c r="M332" s="54" t="s">
        <v>8</v>
      </c>
      <c r="N332" s="54" t="s">
        <v>1396</v>
      </c>
    </row>
    <row r="333" spans="2:14" x14ac:dyDescent="0.35">
      <c r="B333" t="s">
        <v>986</v>
      </c>
      <c r="C333" t="s">
        <v>6</v>
      </c>
      <c r="D333" t="s">
        <v>811</v>
      </c>
      <c r="E333" t="s">
        <v>1286</v>
      </c>
      <c r="F333" t="s">
        <v>1062</v>
      </c>
      <c r="G333" t="s">
        <v>1391</v>
      </c>
      <c r="K333" s="54" t="s">
        <v>976</v>
      </c>
      <c r="L333" s="54" t="s">
        <v>873</v>
      </c>
      <c r="M333" s="54" t="s">
        <v>874</v>
      </c>
      <c r="N333" s="54" t="s">
        <v>1329</v>
      </c>
    </row>
    <row r="334" spans="2:14" x14ac:dyDescent="0.35">
      <c r="B334" t="s">
        <v>1029</v>
      </c>
      <c r="C334" t="s">
        <v>6</v>
      </c>
      <c r="D334" t="s">
        <v>811</v>
      </c>
      <c r="E334" t="s">
        <v>1286</v>
      </c>
      <c r="F334" t="s">
        <v>1062</v>
      </c>
      <c r="G334" t="s">
        <v>1391</v>
      </c>
      <c r="K334" s="54" t="s">
        <v>1219</v>
      </c>
      <c r="L334" s="54" t="s">
        <v>1111</v>
      </c>
      <c r="M334" s="54" t="s">
        <v>1164</v>
      </c>
      <c r="N334" s="54" t="s">
        <v>1289</v>
      </c>
    </row>
    <row r="335" spans="2:14" x14ac:dyDescent="0.35">
      <c r="B335" t="s">
        <v>1461</v>
      </c>
      <c r="C335" t="s">
        <v>1378</v>
      </c>
      <c r="D335" t="s">
        <v>1394</v>
      </c>
      <c r="E335" t="s">
        <v>1307</v>
      </c>
      <c r="F335" t="s">
        <v>1307</v>
      </c>
      <c r="G335" t="s">
        <v>1391</v>
      </c>
      <c r="K335" s="54" t="s">
        <v>976</v>
      </c>
      <c r="L335" s="54" t="s">
        <v>960</v>
      </c>
      <c r="M335" s="54" t="s">
        <v>961</v>
      </c>
      <c r="N335" s="54" t="s">
        <v>1297</v>
      </c>
    </row>
    <row r="336" spans="2:14" x14ac:dyDescent="0.35">
      <c r="B336" t="s">
        <v>1462</v>
      </c>
      <c r="C336" t="s">
        <v>1379</v>
      </c>
      <c r="D336" t="s">
        <v>1394</v>
      </c>
      <c r="E336" t="s">
        <v>1301</v>
      </c>
      <c r="F336" t="s">
        <v>1301</v>
      </c>
      <c r="G336" t="s">
        <v>1400</v>
      </c>
      <c r="K336" s="54" t="s">
        <v>817</v>
      </c>
      <c r="L336" s="54" t="s">
        <v>451</v>
      </c>
      <c r="M336" s="54" t="s">
        <v>85</v>
      </c>
      <c r="N336" s="54" t="s">
        <v>1287</v>
      </c>
    </row>
    <row r="337" spans="2:14" x14ac:dyDescent="0.35">
      <c r="B337" t="s">
        <v>592</v>
      </c>
      <c r="C337" t="s">
        <v>60</v>
      </c>
      <c r="D337" t="s">
        <v>1225</v>
      </c>
      <c r="E337" t="s">
        <v>1287</v>
      </c>
      <c r="F337" t="s">
        <v>1287</v>
      </c>
      <c r="G337" t="s">
        <v>1398</v>
      </c>
      <c r="K337" s="54" t="s">
        <v>1219</v>
      </c>
      <c r="L337" s="54" t="s">
        <v>1129</v>
      </c>
      <c r="M337" s="54" t="s">
        <v>1170</v>
      </c>
      <c r="N337" s="54" t="s">
        <v>1294</v>
      </c>
    </row>
    <row r="338" spans="2:14" x14ac:dyDescent="0.35">
      <c r="B338" t="s">
        <v>944</v>
      </c>
      <c r="C338" t="s">
        <v>945</v>
      </c>
      <c r="D338" t="s">
        <v>976</v>
      </c>
      <c r="E338" t="s">
        <v>1297</v>
      </c>
      <c r="F338" t="s">
        <v>1297</v>
      </c>
      <c r="G338" t="s">
        <v>1395</v>
      </c>
      <c r="K338" s="54" t="s">
        <v>837</v>
      </c>
      <c r="L338" s="54" t="s">
        <v>758</v>
      </c>
      <c r="M338" s="54" t="s">
        <v>359</v>
      </c>
      <c r="N338" s="54" t="s">
        <v>1294</v>
      </c>
    </row>
    <row r="339" spans="2:14" x14ac:dyDescent="0.35">
      <c r="B339" t="s">
        <v>587</v>
      </c>
      <c r="C339" t="s">
        <v>110</v>
      </c>
      <c r="D339" t="s">
        <v>1061</v>
      </c>
      <c r="E339" t="s">
        <v>1295</v>
      </c>
      <c r="F339" t="s">
        <v>1289</v>
      </c>
      <c r="G339" t="s">
        <v>1395</v>
      </c>
      <c r="K339" s="54" t="s">
        <v>837</v>
      </c>
      <c r="L339" s="54" t="s">
        <v>763</v>
      </c>
      <c r="M339" s="54" t="s">
        <v>364</v>
      </c>
      <c r="N339" s="54" t="s">
        <v>1283</v>
      </c>
    </row>
    <row r="340" spans="2:14" x14ac:dyDescent="0.35">
      <c r="B340" t="s">
        <v>1008</v>
      </c>
      <c r="C340" t="s">
        <v>1228</v>
      </c>
      <c r="D340" t="s">
        <v>832</v>
      </c>
      <c r="E340" t="s">
        <v>1281</v>
      </c>
      <c r="F340" t="s">
        <v>1281</v>
      </c>
      <c r="G340" t="s">
        <v>1395</v>
      </c>
      <c r="K340" s="54" t="s">
        <v>1225</v>
      </c>
      <c r="L340" s="54" t="s">
        <v>585</v>
      </c>
      <c r="M340" s="54" t="s">
        <v>126</v>
      </c>
      <c r="N340" s="54" t="s">
        <v>1322</v>
      </c>
    </row>
    <row r="341" spans="2:14" x14ac:dyDescent="0.35">
      <c r="B341" t="s">
        <v>597</v>
      </c>
      <c r="C341" t="s">
        <v>153</v>
      </c>
      <c r="D341" t="s">
        <v>1061</v>
      </c>
      <c r="E341" t="s">
        <v>1305</v>
      </c>
      <c r="F341" t="s">
        <v>1062</v>
      </c>
      <c r="G341" t="s">
        <v>1400</v>
      </c>
      <c r="K341" s="54" t="s">
        <v>1061</v>
      </c>
      <c r="L341" s="54" t="s">
        <v>489</v>
      </c>
      <c r="M341" s="54" t="s">
        <v>98</v>
      </c>
      <c r="N341" s="54" t="s">
        <v>1396</v>
      </c>
    </row>
    <row r="342" spans="2:14" x14ac:dyDescent="0.35">
      <c r="B342" t="s">
        <v>597</v>
      </c>
      <c r="C342" t="s">
        <v>227</v>
      </c>
      <c r="D342" t="s">
        <v>1061</v>
      </c>
      <c r="E342" t="s">
        <v>1305</v>
      </c>
      <c r="F342" t="s">
        <v>1062</v>
      </c>
      <c r="G342" t="s">
        <v>1400</v>
      </c>
      <c r="K342" s="54" t="s">
        <v>837</v>
      </c>
      <c r="L342" s="54" t="s">
        <v>766</v>
      </c>
      <c r="M342" s="54" t="s">
        <v>367</v>
      </c>
      <c r="N342" s="54" t="s">
        <v>1282</v>
      </c>
    </row>
    <row r="343" spans="2:14" x14ac:dyDescent="0.35">
      <c r="B343" t="s">
        <v>772</v>
      </c>
      <c r="C343" t="s">
        <v>374</v>
      </c>
      <c r="D343" t="s">
        <v>837</v>
      </c>
      <c r="E343" t="s">
        <v>1296</v>
      </c>
      <c r="F343" t="s">
        <v>1296</v>
      </c>
      <c r="G343" t="s">
        <v>1391</v>
      </c>
      <c r="K343" s="54" t="s">
        <v>976</v>
      </c>
      <c r="L343" s="54" t="s">
        <v>948</v>
      </c>
      <c r="M343" s="54" t="s">
        <v>949</v>
      </c>
      <c r="N343" s="54" t="s">
        <v>1300</v>
      </c>
    </row>
    <row r="344" spans="2:14" x14ac:dyDescent="0.35">
      <c r="B344" t="s">
        <v>449</v>
      </c>
      <c r="C344" t="s">
        <v>64</v>
      </c>
      <c r="D344" t="s">
        <v>1061</v>
      </c>
      <c r="E344" t="s">
        <v>1292</v>
      </c>
      <c r="F344" t="s">
        <v>1409</v>
      </c>
      <c r="G344" t="s">
        <v>1391</v>
      </c>
      <c r="K344" s="54" t="s">
        <v>819</v>
      </c>
      <c r="L344" s="54" t="s">
        <v>662</v>
      </c>
      <c r="M344" s="54" t="s">
        <v>67</v>
      </c>
      <c r="N344" s="54" t="s">
        <v>1289</v>
      </c>
    </row>
    <row r="345" spans="2:14" x14ac:dyDescent="0.35">
      <c r="B345" t="s">
        <v>637</v>
      </c>
      <c r="C345" t="s">
        <v>149</v>
      </c>
      <c r="D345" t="s">
        <v>821</v>
      </c>
      <c r="E345" t="s">
        <v>1292</v>
      </c>
      <c r="F345" t="s">
        <v>1289</v>
      </c>
      <c r="G345" t="s">
        <v>1391</v>
      </c>
      <c r="K345" s="54" t="s">
        <v>822</v>
      </c>
      <c r="L345" s="54" t="s">
        <v>672</v>
      </c>
      <c r="M345" s="54" t="s">
        <v>93</v>
      </c>
      <c r="N345" s="54" t="s">
        <v>1300</v>
      </c>
    </row>
    <row r="346" spans="2:14" x14ac:dyDescent="0.35">
      <c r="B346" t="s">
        <v>948</v>
      </c>
      <c r="C346" t="s">
        <v>949</v>
      </c>
      <c r="D346" t="s">
        <v>976</v>
      </c>
      <c r="E346" t="s">
        <v>1300</v>
      </c>
      <c r="F346" t="s">
        <v>1300</v>
      </c>
      <c r="G346" t="s">
        <v>1391</v>
      </c>
      <c r="K346" s="54" t="s">
        <v>828</v>
      </c>
      <c r="L346" s="54" t="s">
        <v>613</v>
      </c>
      <c r="M346" s="54" t="s">
        <v>66</v>
      </c>
      <c r="N346" s="54" t="s">
        <v>1294</v>
      </c>
    </row>
    <row r="347" spans="2:14" x14ac:dyDescent="0.35">
      <c r="B347" t="s">
        <v>633</v>
      </c>
      <c r="C347" t="s">
        <v>84</v>
      </c>
      <c r="D347" t="s">
        <v>821</v>
      </c>
      <c r="E347" t="s">
        <v>1292</v>
      </c>
      <c r="F347" t="s">
        <v>1289</v>
      </c>
      <c r="G347" t="s">
        <v>1391</v>
      </c>
      <c r="K347" s="54" t="s">
        <v>1061</v>
      </c>
      <c r="L347" s="54" t="s">
        <v>764</v>
      </c>
      <c r="M347" s="54" t="s">
        <v>365</v>
      </c>
      <c r="N347" s="54" t="s">
        <v>1282</v>
      </c>
    </row>
    <row r="348" spans="2:14" x14ac:dyDescent="0.35">
      <c r="B348" t="s">
        <v>683</v>
      </c>
      <c r="C348" t="s">
        <v>119</v>
      </c>
      <c r="D348" t="s">
        <v>815</v>
      </c>
      <c r="E348" t="s">
        <v>1300</v>
      </c>
      <c r="F348" t="s">
        <v>1300</v>
      </c>
      <c r="G348" t="s">
        <v>1391</v>
      </c>
      <c r="K348" s="54" t="s">
        <v>1061</v>
      </c>
      <c r="L348" s="54" t="s">
        <v>407</v>
      </c>
      <c r="M348" s="54" t="s">
        <v>95</v>
      </c>
      <c r="N348" s="54" t="s">
        <v>1297</v>
      </c>
    </row>
    <row r="349" spans="2:14" x14ac:dyDescent="0.35">
      <c r="B349" t="s">
        <v>1133</v>
      </c>
      <c r="C349" t="s">
        <v>1204</v>
      </c>
      <c r="D349" t="s">
        <v>1219</v>
      </c>
      <c r="E349" t="s">
        <v>1299</v>
      </c>
      <c r="F349" t="s">
        <v>1299</v>
      </c>
      <c r="G349" t="s">
        <v>1398</v>
      </c>
      <c r="K349" s="54" t="s">
        <v>976</v>
      </c>
      <c r="L349" s="54" t="s">
        <v>952</v>
      </c>
      <c r="M349" s="54" t="s">
        <v>953</v>
      </c>
      <c r="N349" s="54" t="s">
        <v>1302</v>
      </c>
    </row>
    <row r="350" spans="2:14" x14ac:dyDescent="0.35">
      <c r="B350" t="s">
        <v>613</v>
      </c>
      <c r="C350" t="s">
        <v>66</v>
      </c>
      <c r="D350" t="s">
        <v>828</v>
      </c>
      <c r="E350" t="s">
        <v>1060</v>
      </c>
      <c r="F350" t="s">
        <v>1294</v>
      </c>
      <c r="G350" t="s">
        <v>1395</v>
      </c>
      <c r="K350" s="54" t="s">
        <v>1219</v>
      </c>
      <c r="L350" s="54" t="s">
        <v>1106</v>
      </c>
      <c r="M350" s="54" t="s">
        <v>1156</v>
      </c>
      <c r="N350" s="54" t="s">
        <v>1283</v>
      </c>
    </row>
    <row r="351" spans="2:14" x14ac:dyDescent="0.35">
      <c r="B351" t="s">
        <v>722</v>
      </c>
      <c r="C351" t="s">
        <v>269</v>
      </c>
      <c r="D351" t="s">
        <v>828</v>
      </c>
      <c r="E351" t="s">
        <v>1060</v>
      </c>
      <c r="F351" t="s">
        <v>1294</v>
      </c>
      <c r="G351" t="s">
        <v>1391</v>
      </c>
      <c r="K351" s="54" t="s">
        <v>976</v>
      </c>
      <c r="L351" s="54" t="s">
        <v>964</v>
      </c>
      <c r="M351" s="54" t="s">
        <v>965</v>
      </c>
      <c r="N351" s="54" t="s">
        <v>1297</v>
      </c>
    </row>
    <row r="352" spans="2:14" x14ac:dyDescent="0.35">
      <c r="B352" t="s">
        <v>773</v>
      </c>
      <c r="C352" t="s">
        <v>375</v>
      </c>
      <c r="D352" t="s">
        <v>837</v>
      </c>
      <c r="E352" t="s">
        <v>1288</v>
      </c>
      <c r="F352" t="s">
        <v>1288</v>
      </c>
      <c r="G352" t="s">
        <v>1398</v>
      </c>
      <c r="K352" s="54" t="s">
        <v>1219</v>
      </c>
      <c r="L352" s="54" t="s">
        <v>1127</v>
      </c>
      <c r="M352" s="54" t="s">
        <v>1167</v>
      </c>
      <c r="N352" s="54" t="s">
        <v>1287</v>
      </c>
    </row>
    <row r="353" spans="2:14" x14ac:dyDescent="0.35">
      <c r="B353" t="s">
        <v>1135</v>
      </c>
      <c r="C353" t="s">
        <v>1181</v>
      </c>
      <c r="D353" t="s">
        <v>1219</v>
      </c>
      <c r="E353" t="s">
        <v>1288</v>
      </c>
      <c r="F353" t="s">
        <v>1288</v>
      </c>
      <c r="G353" t="s">
        <v>1398</v>
      </c>
      <c r="K353" s="54" t="s">
        <v>817</v>
      </c>
      <c r="L353" s="54" t="s">
        <v>1011</v>
      </c>
      <c r="M353" s="54" t="s">
        <v>96</v>
      </c>
      <c r="N353" s="54" t="s">
        <v>1396</v>
      </c>
    </row>
    <row r="354" spans="2:14" x14ac:dyDescent="0.35">
      <c r="B354" t="s">
        <v>561</v>
      </c>
      <c r="C354" t="s">
        <v>134</v>
      </c>
      <c r="D354" t="s">
        <v>1223</v>
      </c>
      <c r="E354" t="s">
        <v>1298</v>
      </c>
      <c r="F354" t="s">
        <v>1297</v>
      </c>
      <c r="G354" t="s">
        <v>1398</v>
      </c>
      <c r="K354" s="54" t="s">
        <v>1061</v>
      </c>
      <c r="L354" s="54" t="s">
        <v>432</v>
      </c>
      <c r="M354" s="54" t="s">
        <v>69</v>
      </c>
      <c r="N354" s="54" t="s">
        <v>1407</v>
      </c>
    </row>
    <row r="355" spans="2:14" x14ac:dyDescent="0.35">
      <c r="B355" t="s">
        <v>1463</v>
      </c>
      <c r="C355" t="s">
        <v>1380</v>
      </c>
      <c r="D355" t="s">
        <v>1394</v>
      </c>
      <c r="E355" t="s">
        <v>1303</v>
      </c>
      <c r="F355" t="s">
        <v>1303</v>
      </c>
      <c r="G355" t="s">
        <v>1391</v>
      </c>
      <c r="K355" s="54" t="s">
        <v>1221</v>
      </c>
      <c r="L355" s="54" t="s">
        <v>685</v>
      </c>
      <c r="M355" s="54" t="s">
        <v>122</v>
      </c>
      <c r="N355" s="54" t="s">
        <v>1330</v>
      </c>
    </row>
    <row r="356" spans="2:14" x14ac:dyDescent="0.35">
      <c r="B356" t="s">
        <v>1094</v>
      </c>
      <c r="C356" t="s">
        <v>1159</v>
      </c>
      <c r="D356" t="s">
        <v>1219</v>
      </c>
      <c r="E356" t="s">
        <v>1302</v>
      </c>
      <c r="F356" t="s">
        <v>1302</v>
      </c>
      <c r="G356" t="s">
        <v>1391</v>
      </c>
      <c r="K356" s="54" t="s">
        <v>1225</v>
      </c>
      <c r="L356" s="54" t="s">
        <v>584</v>
      </c>
      <c r="M356" s="54" t="s">
        <v>77</v>
      </c>
      <c r="N356" s="54" t="s">
        <v>1294</v>
      </c>
    </row>
    <row r="357" spans="2:14" x14ac:dyDescent="0.35">
      <c r="B357" t="s">
        <v>1464</v>
      </c>
      <c r="C357" t="s">
        <v>1381</v>
      </c>
      <c r="D357" t="s">
        <v>1394</v>
      </c>
      <c r="E357" t="s">
        <v>1308</v>
      </c>
      <c r="F357" t="s">
        <v>1308</v>
      </c>
      <c r="G357" t="s">
        <v>1426</v>
      </c>
      <c r="K357" s="54" t="s">
        <v>1221</v>
      </c>
      <c r="L357" s="54" t="s">
        <v>521</v>
      </c>
      <c r="M357" s="54" t="s">
        <v>14</v>
      </c>
      <c r="N357" s="54" t="s">
        <v>1062</v>
      </c>
    </row>
    <row r="358" spans="2:14" x14ac:dyDescent="0.35">
      <c r="B358" t="s">
        <v>1465</v>
      </c>
      <c r="C358" t="s">
        <v>1466</v>
      </c>
      <c r="D358" t="s">
        <v>1394</v>
      </c>
      <c r="E358" t="s">
        <v>1308</v>
      </c>
      <c r="F358" t="s">
        <v>1308</v>
      </c>
      <c r="G358" t="s">
        <v>1395</v>
      </c>
      <c r="K358" s="54" t="s">
        <v>1223</v>
      </c>
      <c r="L358" s="54" t="s">
        <v>559</v>
      </c>
      <c r="M358" s="54" t="s">
        <v>40</v>
      </c>
      <c r="N358" s="54" t="s">
        <v>1294</v>
      </c>
    </row>
    <row r="359" spans="2:14" x14ac:dyDescent="0.35">
      <c r="B359" t="s">
        <v>744</v>
      </c>
      <c r="C359" t="s">
        <v>344</v>
      </c>
      <c r="D359" t="s">
        <v>976</v>
      </c>
      <c r="E359" t="s">
        <v>1294</v>
      </c>
      <c r="F359" t="s">
        <v>1294</v>
      </c>
      <c r="G359" t="s">
        <v>1391</v>
      </c>
      <c r="K359" s="54" t="s">
        <v>810</v>
      </c>
      <c r="L359" s="54" t="s">
        <v>642</v>
      </c>
      <c r="M359" s="54" t="s">
        <v>1</v>
      </c>
      <c r="N359" s="54" t="s">
        <v>1312</v>
      </c>
    </row>
    <row r="360" spans="2:14" x14ac:dyDescent="0.35">
      <c r="B360" t="s">
        <v>1114</v>
      </c>
      <c r="C360" t="s">
        <v>1154</v>
      </c>
      <c r="D360" t="s">
        <v>1219</v>
      </c>
      <c r="E360" t="s">
        <v>1297</v>
      </c>
      <c r="F360" t="s">
        <v>1297</v>
      </c>
      <c r="G360" t="s">
        <v>1395</v>
      </c>
      <c r="K360" s="54" t="s">
        <v>837</v>
      </c>
      <c r="L360" s="54" t="s">
        <v>756</v>
      </c>
      <c r="M360" s="54" t="s">
        <v>357</v>
      </c>
      <c r="N360" s="54" t="s">
        <v>1302</v>
      </c>
    </row>
    <row r="361" spans="2:14" x14ac:dyDescent="0.35">
      <c r="B361" t="s">
        <v>532</v>
      </c>
      <c r="C361" t="s">
        <v>199</v>
      </c>
      <c r="D361" t="s">
        <v>1221</v>
      </c>
      <c r="E361" t="s">
        <v>1303</v>
      </c>
      <c r="F361" t="s">
        <v>1303</v>
      </c>
      <c r="G361" t="s">
        <v>1391</v>
      </c>
      <c r="K361" s="54" t="s">
        <v>822</v>
      </c>
      <c r="L361" s="54" t="s">
        <v>658</v>
      </c>
      <c r="M361" s="54" t="s">
        <v>57</v>
      </c>
      <c r="N361" s="54" t="s">
        <v>1293</v>
      </c>
    </row>
    <row r="362" spans="2:14" x14ac:dyDescent="0.35">
      <c r="B362" t="s">
        <v>567</v>
      </c>
      <c r="C362" t="s">
        <v>170</v>
      </c>
      <c r="D362" t="s">
        <v>1223</v>
      </c>
      <c r="E362" t="s">
        <v>1292</v>
      </c>
      <c r="F362" t="s">
        <v>1294</v>
      </c>
      <c r="G362" t="s">
        <v>1391</v>
      </c>
      <c r="K362" s="54" t="s">
        <v>1061</v>
      </c>
      <c r="L362" s="54" t="s">
        <v>446</v>
      </c>
      <c r="M362" s="54" t="s">
        <v>12</v>
      </c>
      <c r="N362" s="54" t="s">
        <v>1396</v>
      </c>
    </row>
    <row r="363" spans="2:14" x14ac:dyDescent="0.35">
      <c r="B363" t="s">
        <v>1086</v>
      </c>
      <c r="C363" t="s">
        <v>1158</v>
      </c>
      <c r="D363" t="s">
        <v>1219</v>
      </c>
      <c r="E363" t="s">
        <v>1300</v>
      </c>
      <c r="F363" t="s">
        <v>1300</v>
      </c>
      <c r="G363" t="s">
        <v>1391</v>
      </c>
      <c r="K363" s="54" t="s">
        <v>1061</v>
      </c>
      <c r="L363" s="54" t="s">
        <v>545</v>
      </c>
      <c r="M363" s="54" t="s">
        <v>2</v>
      </c>
      <c r="N363" s="54" t="s">
        <v>1289</v>
      </c>
    </row>
    <row r="364" spans="2:14" x14ac:dyDescent="0.35">
      <c r="B364" t="s">
        <v>775</v>
      </c>
      <c r="C364" t="s">
        <v>377</v>
      </c>
      <c r="D364" t="s">
        <v>822</v>
      </c>
      <c r="E364" t="s">
        <v>1062</v>
      </c>
      <c r="F364" t="s">
        <v>1062</v>
      </c>
      <c r="G364" t="s">
        <v>1400</v>
      </c>
      <c r="K364" s="54" t="s">
        <v>822</v>
      </c>
      <c r="L364" s="54" t="s">
        <v>650</v>
      </c>
      <c r="M364" s="54" t="s">
        <v>30</v>
      </c>
      <c r="N364" s="54" t="s">
        <v>1300</v>
      </c>
    </row>
    <row r="365" spans="2:14" x14ac:dyDescent="0.35">
      <c r="B365" t="s">
        <v>711</v>
      </c>
      <c r="C365" t="s">
        <v>192</v>
      </c>
      <c r="D365" t="s">
        <v>822</v>
      </c>
      <c r="E365" t="s">
        <v>1288</v>
      </c>
      <c r="F365" t="s">
        <v>1288</v>
      </c>
      <c r="G365" t="s">
        <v>1398</v>
      </c>
      <c r="K365" s="54" t="s">
        <v>813</v>
      </c>
      <c r="L365" s="54" t="s">
        <v>401</v>
      </c>
      <c r="M365" s="54" t="s">
        <v>13</v>
      </c>
      <c r="N365" s="54" t="s">
        <v>1297</v>
      </c>
    </row>
    <row r="366" spans="2:14" x14ac:dyDescent="0.35">
      <c r="B366" t="s">
        <v>1467</v>
      </c>
      <c r="C366" t="s">
        <v>1382</v>
      </c>
      <c r="D366" t="s">
        <v>1394</v>
      </c>
      <c r="E366" t="s">
        <v>1316</v>
      </c>
      <c r="F366" t="s">
        <v>1316</v>
      </c>
      <c r="G366" t="s">
        <v>1395</v>
      </c>
      <c r="K366" s="54" t="s">
        <v>811</v>
      </c>
      <c r="L366" s="54" t="s">
        <v>989</v>
      </c>
      <c r="M366" s="54" t="s">
        <v>6</v>
      </c>
      <c r="N366" s="54" t="s">
        <v>1062</v>
      </c>
    </row>
    <row r="367" spans="2:14" x14ac:dyDescent="0.35">
      <c r="B367" t="s">
        <v>1468</v>
      </c>
      <c r="C367" t="s">
        <v>1383</v>
      </c>
      <c r="D367" t="s">
        <v>1394</v>
      </c>
      <c r="E367" t="s">
        <v>1287</v>
      </c>
      <c r="F367" t="s">
        <v>1287</v>
      </c>
      <c r="G367" t="s">
        <v>1398</v>
      </c>
      <c r="K367" s="54" t="s">
        <v>1061</v>
      </c>
      <c r="L367" s="54" t="s">
        <v>983</v>
      </c>
      <c r="M367" s="54" t="s">
        <v>222</v>
      </c>
      <c r="N367" s="54" t="s">
        <v>1295</v>
      </c>
    </row>
    <row r="368" spans="2:14" x14ac:dyDescent="0.35">
      <c r="B368" t="s">
        <v>710</v>
      </c>
      <c r="C368" t="s">
        <v>190</v>
      </c>
      <c r="D368" t="s">
        <v>822</v>
      </c>
      <c r="E368" t="s">
        <v>1282</v>
      </c>
      <c r="F368" t="s">
        <v>1282</v>
      </c>
      <c r="G368" t="s">
        <v>1391</v>
      </c>
      <c r="K368" s="54" t="s">
        <v>1219</v>
      </c>
      <c r="L368" s="54" t="s">
        <v>1122</v>
      </c>
      <c r="M368" s="54" t="s">
        <v>1155</v>
      </c>
      <c r="N368" s="54" t="s">
        <v>1300</v>
      </c>
    </row>
    <row r="369" spans="2:14" x14ac:dyDescent="0.35">
      <c r="B369" t="s">
        <v>441</v>
      </c>
      <c r="C369" t="s">
        <v>32</v>
      </c>
      <c r="D369" t="s">
        <v>817</v>
      </c>
      <c r="E369" t="s">
        <v>1290</v>
      </c>
      <c r="F369" t="s">
        <v>1469</v>
      </c>
      <c r="G369" t="s">
        <v>1391</v>
      </c>
      <c r="K369" s="54" t="s">
        <v>837</v>
      </c>
      <c r="L369" s="54" t="s">
        <v>940</v>
      </c>
      <c r="M369" s="54" t="s">
        <v>941</v>
      </c>
      <c r="N369" s="54" t="s">
        <v>1288</v>
      </c>
    </row>
    <row r="370" spans="2:14" x14ac:dyDescent="0.35">
      <c r="B370" t="s">
        <v>1121</v>
      </c>
      <c r="C370" t="s">
        <v>1166</v>
      </c>
      <c r="D370" t="s">
        <v>1235</v>
      </c>
      <c r="E370" t="s">
        <v>1289</v>
      </c>
      <c r="F370" t="s">
        <v>1289</v>
      </c>
      <c r="G370" t="s">
        <v>1391</v>
      </c>
      <c r="K370" s="54" t="s">
        <v>1061</v>
      </c>
      <c r="L370" s="54" t="s">
        <v>397</v>
      </c>
      <c r="M370" s="54" t="s">
        <v>174</v>
      </c>
      <c r="N370" s="54" t="s">
        <v>1289</v>
      </c>
    </row>
    <row r="371" spans="2:14" x14ac:dyDescent="0.35">
      <c r="B371" t="s">
        <v>396</v>
      </c>
      <c r="C371" t="s">
        <v>9</v>
      </c>
      <c r="D371" t="s">
        <v>1061</v>
      </c>
      <c r="E371" t="s">
        <v>1280</v>
      </c>
      <c r="F371" t="s">
        <v>1407</v>
      </c>
      <c r="G371" t="s">
        <v>1398</v>
      </c>
      <c r="K371" s="54" t="s">
        <v>1061</v>
      </c>
      <c r="L371" s="54" t="s">
        <v>1003</v>
      </c>
      <c r="M371" s="54" t="s">
        <v>16</v>
      </c>
      <c r="N371" s="54" t="s">
        <v>1396</v>
      </c>
    </row>
    <row r="372" spans="2:14" x14ac:dyDescent="0.35">
      <c r="B372" t="s">
        <v>530</v>
      </c>
      <c r="C372" t="s">
        <v>345</v>
      </c>
      <c r="D372" t="s">
        <v>835</v>
      </c>
      <c r="E372" t="s">
        <v>1062</v>
      </c>
      <c r="F372" t="s">
        <v>1062</v>
      </c>
      <c r="G372" t="s">
        <v>1400</v>
      </c>
      <c r="K372" s="54" t="s">
        <v>837</v>
      </c>
      <c r="L372" s="54" t="s">
        <v>739</v>
      </c>
      <c r="M372" s="54" t="s">
        <v>339</v>
      </c>
      <c r="N372" s="54" t="s">
        <v>1294</v>
      </c>
    </row>
    <row r="373" spans="2:14" x14ac:dyDescent="0.35">
      <c r="B373" t="s">
        <v>636</v>
      </c>
      <c r="C373" t="s">
        <v>31</v>
      </c>
      <c r="D373" t="s">
        <v>821</v>
      </c>
      <c r="E373" t="s">
        <v>1292</v>
      </c>
      <c r="F373" t="s">
        <v>1289</v>
      </c>
      <c r="G373" t="s">
        <v>1391</v>
      </c>
      <c r="K373" s="54" t="s">
        <v>976</v>
      </c>
      <c r="L373" s="54" t="s">
        <v>744</v>
      </c>
      <c r="M373" s="54" t="s">
        <v>344</v>
      </c>
      <c r="N373" s="54" t="s">
        <v>1294</v>
      </c>
    </row>
    <row r="374" spans="2:14" x14ac:dyDescent="0.35">
      <c r="B374" t="s">
        <v>1470</v>
      </c>
      <c r="C374" t="s">
        <v>1384</v>
      </c>
      <c r="D374" t="s">
        <v>1394</v>
      </c>
      <c r="E374" t="s">
        <v>1312</v>
      </c>
      <c r="F374" t="s">
        <v>1312</v>
      </c>
      <c r="G374" t="s">
        <v>1395</v>
      </c>
      <c r="K374" s="54" t="s">
        <v>1226</v>
      </c>
      <c r="L374" s="54" t="s">
        <v>410</v>
      </c>
      <c r="M374" s="54" t="s">
        <v>197</v>
      </c>
      <c r="N374" s="54" t="s">
        <v>1294</v>
      </c>
    </row>
    <row r="375" spans="2:14" x14ac:dyDescent="0.35">
      <c r="B375" t="s">
        <v>777</v>
      </c>
      <c r="C375" t="s">
        <v>379</v>
      </c>
      <c r="D375" t="s">
        <v>837</v>
      </c>
      <c r="E375" t="s">
        <v>1294</v>
      </c>
      <c r="F375" t="s">
        <v>1294</v>
      </c>
      <c r="G375" t="s">
        <v>1391</v>
      </c>
      <c r="K375" s="54" t="s">
        <v>1061</v>
      </c>
      <c r="L375" s="54" t="s">
        <v>614</v>
      </c>
      <c r="M375" s="54" t="s">
        <v>29</v>
      </c>
      <c r="N375" s="54" t="s">
        <v>1297</v>
      </c>
    </row>
    <row r="376" spans="2:14" x14ac:dyDescent="0.35">
      <c r="B376" t="s">
        <v>546</v>
      </c>
      <c r="C376" t="s">
        <v>118</v>
      </c>
      <c r="D376" t="s">
        <v>829</v>
      </c>
      <c r="E376" t="s">
        <v>1298</v>
      </c>
      <c r="F376" t="s">
        <v>1297</v>
      </c>
      <c r="G376" t="s">
        <v>1395</v>
      </c>
      <c r="K376" s="54" t="s">
        <v>810</v>
      </c>
      <c r="L376" s="54" t="s">
        <v>649</v>
      </c>
      <c r="M376" s="54" t="s">
        <v>28</v>
      </c>
      <c r="N376" s="54" t="s">
        <v>1289</v>
      </c>
    </row>
    <row r="377" spans="2:14" x14ac:dyDescent="0.35">
      <c r="B377" t="s">
        <v>679</v>
      </c>
      <c r="C377" t="s">
        <v>113</v>
      </c>
      <c r="D377" t="s">
        <v>822</v>
      </c>
      <c r="E377" t="s">
        <v>1283</v>
      </c>
      <c r="F377" t="s">
        <v>1283</v>
      </c>
      <c r="G377" t="s">
        <v>1391</v>
      </c>
      <c r="K377" s="54" t="s">
        <v>976</v>
      </c>
      <c r="L377" s="54" t="s">
        <v>889</v>
      </c>
      <c r="M377" s="54" t="s">
        <v>890</v>
      </c>
      <c r="N377" s="54" t="s">
        <v>1283</v>
      </c>
    </row>
    <row r="378" spans="2:14" x14ac:dyDescent="0.35">
      <c r="B378" t="s">
        <v>1150</v>
      </c>
      <c r="C378" t="s">
        <v>955</v>
      </c>
      <c r="D378" t="s">
        <v>1061</v>
      </c>
      <c r="E378" t="s">
        <v>1307</v>
      </c>
      <c r="F378" t="s">
        <v>1332</v>
      </c>
      <c r="G378" t="s">
        <v>1391</v>
      </c>
      <c r="K378" s="54" t="s">
        <v>821</v>
      </c>
      <c r="L378" s="54" t="s">
        <v>634</v>
      </c>
      <c r="M378" s="54" t="s">
        <v>94</v>
      </c>
      <c r="N378" s="54" t="s">
        <v>1287</v>
      </c>
    </row>
    <row r="379" spans="2:14" x14ac:dyDescent="0.35">
      <c r="B379" t="s">
        <v>954</v>
      </c>
      <c r="C379" t="s">
        <v>955</v>
      </c>
      <c r="D379" t="s">
        <v>976</v>
      </c>
      <c r="E379" t="s">
        <v>1307</v>
      </c>
      <c r="F379" t="s">
        <v>1332</v>
      </c>
      <c r="G379" t="s">
        <v>1391</v>
      </c>
      <c r="K379" s="54" t="s">
        <v>1061</v>
      </c>
      <c r="L379" s="54" t="s">
        <v>980</v>
      </c>
      <c r="M379" s="54" t="s">
        <v>169</v>
      </c>
      <c r="N379" s="54" t="s">
        <v>1295</v>
      </c>
    </row>
    <row r="380" spans="2:14" x14ac:dyDescent="0.35">
      <c r="B380" t="s">
        <v>1471</v>
      </c>
      <c r="C380" t="s">
        <v>263</v>
      </c>
      <c r="D380" t="s">
        <v>1472</v>
      </c>
      <c r="E380" t="s">
        <v>1060</v>
      </c>
      <c r="F380" t="s">
        <v>1297</v>
      </c>
      <c r="G380" t="s">
        <v>1395</v>
      </c>
      <c r="K380" s="54" t="s">
        <v>822</v>
      </c>
      <c r="L380" s="54" t="s">
        <v>696</v>
      </c>
      <c r="M380" s="54" t="s">
        <v>140</v>
      </c>
      <c r="N380" s="54" t="s">
        <v>1289</v>
      </c>
    </row>
    <row r="381" spans="2:14" x14ac:dyDescent="0.35">
      <c r="B381" t="s">
        <v>1088</v>
      </c>
      <c r="C381" t="s">
        <v>1089</v>
      </c>
      <c r="D381" t="s">
        <v>1219</v>
      </c>
      <c r="E381" t="s">
        <v>1315</v>
      </c>
      <c r="F381" t="s">
        <v>1315</v>
      </c>
      <c r="G381" t="s">
        <v>1391</v>
      </c>
      <c r="K381" s="54" t="s">
        <v>1061</v>
      </c>
      <c r="L381" s="54" t="s">
        <v>396</v>
      </c>
      <c r="M381" s="54" t="s">
        <v>9</v>
      </c>
      <c r="N381" s="54" t="s">
        <v>1407</v>
      </c>
    </row>
    <row r="382" spans="2:14" x14ac:dyDescent="0.35">
      <c r="B382" t="s">
        <v>1473</v>
      </c>
      <c r="C382" t="s">
        <v>1386</v>
      </c>
      <c r="D382" t="s">
        <v>1394</v>
      </c>
      <c r="E382" t="s">
        <v>1301</v>
      </c>
      <c r="F382" t="s">
        <v>1301</v>
      </c>
      <c r="G382" t="s">
        <v>1400</v>
      </c>
      <c r="K382" s="54" t="s">
        <v>1061</v>
      </c>
      <c r="L382" s="54" t="s">
        <v>1148</v>
      </c>
      <c r="M382" s="54" t="s">
        <v>108</v>
      </c>
      <c r="N382" s="54" t="s">
        <v>1312</v>
      </c>
    </row>
    <row r="383" spans="2:14" x14ac:dyDescent="0.35">
      <c r="B383" t="s">
        <v>650</v>
      </c>
      <c r="C383" t="s">
        <v>30</v>
      </c>
      <c r="D383" t="s">
        <v>822</v>
      </c>
      <c r="E383" t="s">
        <v>1285</v>
      </c>
      <c r="F383" t="s">
        <v>1300</v>
      </c>
      <c r="G383" t="s">
        <v>1391</v>
      </c>
      <c r="K383" s="54" t="s">
        <v>1061</v>
      </c>
      <c r="L383" s="54" t="s">
        <v>993</v>
      </c>
      <c r="M383" s="54" t="s">
        <v>21</v>
      </c>
      <c r="N383" s="54" t="s">
        <v>1312</v>
      </c>
    </row>
    <row r="384" spans="2:14" x14ac:dyDescent="0.35">
      <c r="B384" t="s">
        <v>958</v>
      </c>
      <c r="C384" t="s">
        <v>1075</v>
      </c>
      <c r="D384" t="s">
        <v>976</v>
      </c>
      <c r="E384" t="s">
        <v>1306</v>
      </c>
      <c r="F384" t="s">
        <v>1329</v>
      </c>
      <c r="G384" t="s">
        <v>1395</v>
      </c>
      <c r="K384" s="54" t="s">
        <v>1061</v>
      </c>
      <c r="L384" s="54" t="s">
        <v>391</v>
      </c>
      <c r="M384" s="54" t="s">
        <v>22</v>
      </c>
      <c r="N384" s="54" t="s">
        <v>1407</v>
      </c>
    </row>
    <row r="385" spans="2:14" x14ac:dyDescent="0.35">
      <c r="B385" t="s">
        <v>958</v>
      </c>
      <c r="C385" t="s">
        <v>959</v>
      </c>
      <c r="D385" t="s">
        <v>976</v>
      </c>
      <c r="E385" t="s">
        <v>1306</v>
      </c>
      <c r="F385" t="s">
        <v>1329</v>
      </c>
      <c r="G385" t="s">
        <v>1395</v>
      </c>
      <c r="K385" s="54" t="s">
        <v>976</v>
      </c>
      <c r="L385" s="54" t="s">
        <v>918</v>
      </c>
      <c r="M385" s="54" t="s">
        <v>919</v>
      </c>
      <c r="N385" s="54" t="s">
        <v>1296</v>
      </c>
    </row>
    <row r="386" spans="2:14" x14ac:dyDescent="0.35">
      <c r="B386" t="s">
        <v>1474</v>
      </c>
      <c r="C386" t="s">
        <v>1387</v>
      </c>
      <c r="D386" t="s">
        <v>1394</v>
      </c>
      <c r="E386" t="s">
        <v>1297</v>
      </c>
      <c r="F386" t="s">
        <v>1297</v>
      </c>
      <c r="G386" t="s">
        <v>1395</v>
      </c>
      <c r="K386" s="54" t="s">
        <v>1061</v>
      </c>
      <c r="L386" s="54" t="s">
        <v>994</v>
      </c>
      <c r="M386" s="54" t="s">
        <v>4</v>
      </c>
      <c r="N386" s="54" t="s">
        <v>1396</v>
      </c>
    </row>
    <row r="387" spans="2:14" x14ac:dyDescent="0.35">
      <c r="B387" t="s">
        <v>1144</v>
      </c>
      <c r="C387" t="s">
        <v>1195</v>
      </c>
      <c r="D387" t="s">
        <v>1219</v>
      </c>
      <c r="E387" t="s">
        <v>1318</v>
      </c>
      <c r="F387" t="s">
        <v>1318</v>
      </c>
      <c r="G387" t="s">
        <v>1395</v>
      </c>
      <c r="K387" s="54" t="s">
        <v>1061</v>
      </c>
      <c r="L387" s="54" t="s">
        <v>643</v>
      </c>
      <c r="M387" s="54" t="s">
        <v>5</v>
      </c>
      <c r="N387" s="54" t="s">
        <v>1312</v>
      </c>
    </row>
    <row r="388" spans="2:14" x14ac:dyDescent="0.35">
      <c r="B388" t="s">
        <v>601</v>
      </c>
      <c r="C388" t="s">
        <v>152</v>
      </c>
      <c r="D388" t="s">
        <v>825</v>
      </c>
      <c r="E388" t="s">
        <v>1292</v>
      </c>
      <c r="F388" t="s">
        <v>1303</v>
      </c>
      <c r="G388" t="s">
        <v>1391</v>
      </c>
      <c r="K388" t="s">
        <v>1219</v>
      </c>
      <c r="L388" t="s">
        <v>1099</v>
      </c>
      <c r="M388" t="s">
        <v>1196</v>
      </c>
      <c r="N388" t="s">
        <v>1299</v>
      </c>
    </row>
    <row r="389" spans="2:14" x14ac:dyDescent="0.35">
      <c r="B389" t="s">
        <v>1011</v>
      </c>
      <c r="C389" t="s">
        <v>96</v>
      </c>
      <c r="D389" t="s">
        <v>817</v>
      </c>
      <c r="E389" t="s">
        <v>1305</v>
      </c>
      <c r="F389" t="s">
        <v>1396</v>
      </c>
      <c r="G389" t="s">
        <v>1400</v>
      </c>
      <c r="K389" t="s">
        <v>1061</v>
      </c>
      <c r="L389" t="s">
        <v>435</v>
      </c>
      <c r="M389" t="s">
        <v>56</v>
      </c>
      <c r="N389" t="s">
        <v>1060</v>
      </c>
    </row>
    <row r="390" spans="2:14" x14ac:dyDescent="0.35">
      <c r="B390" t="s">
        <v>628</v>
      </c>
      <c r="C390" t="s">
        <v>148</v>
      </c>
      <c r="D390" t="s">
        <v>1061</v>
      </c>
      <c r="E390" t="s">
        <v>1292</v>
      </c>
      <c r="F390" t="s">
        <v>1294</v>
      </c>
      <c r="G390" t="s">
        <v>1391</v>
      </c>
      <c r="K390" t="s">
        <v>976</v>
      </c>
      <c r="L390" t="s">
        <v>932</v>
      </c>
      <c r="M390" t="s">
        <v>933</v>
      </c>
      <c r="N390" t="s">
        <v>1601</v>
      </c>
    </row>
    <row r="391" spans="2:14" x14ac:dyDescent="0.35">
      <c r="B391" t="s">
        <v>495</v>
      </c>
      <c r="C391" t="s">
        <v>161</v>
      </c>
      <c r="D391" t="s">
        <v>832</v>
      </c>
      <c r="E391" t="s">
        <v>1303</v>
      </c>
      <c r="F391" t="s">
        <v>1303</v>
      </c>
      <c r="G391" t="s">
        <v>1391</v>
      </c>
      <c r="K391" t="s">
        <v>836</v>
      </c>
      <c r="L391" t="s">
        <v>615</v>
      </c>
      <c r="M391" t="s">
        <v>205</v>
      </c>
      <c r="N391" t="s">
        <v>1601</v>
      </c>
    </row>
    <row r="392" spans="2:14" x14ac:dyDescent="0.35">
      <c r="B392" t="s">
        <v>644</v>
      </c>
      <c r="C392" t="s">
        <v>1245</v>
      </c>
      <c r="D392" t="s">
        <v>815</v>
      </c>
      <c r="E392" t="s">
        <v>1287</v>
      </c>
      <c r="F392" t="s">
        <v>1287</v>
      </c>
      <c r="G392" t="s">
        <v>1398</v>
      </c>
      <c r="K392" t="s">
        <v>838</v>
      </c>
      <c r="L392" t="s">
        <v>958</v>
      </c>
      <c r="M392" t="s">
        <v>1075</v>
      </c>
      <c r="N392" t="s">
        <v>1310</v>
      </c>
    </row>
    <row r="393" spans="2:14" x14ac:dyDescent="0.35">
      <c r="B393" t="s">
        <v>1053</v>
      </c>
      <c r="C393" t="s">
        <v>1245</v>
      </c>
      <c r="D393" t="s">
        <v>815</v>
      </c>
      <c r="E393" t="s">
        <v>1287</v>
      </c>
      <c r="F393" t="s">
        <v>1287</v>
      </c>
      <c r="G393" t="s">
        <v>1398</v>
      </c>
      <c r="K393" t="s">
        <v>821</v>
      </c>
      <c r="L393" t="s">
        <v>624</v>
      </c>
      <c r="M393" t="s">
        <v>106</v>
      </c>
      <c r="N393" t="s">
        <v>1312</v>
      </c>
    </row>
    <row r="394" spans="2:14" x14ac:dyDescent="0.35">
      <c r="B394" t="s">
        <v>680</v>
      </c>
      <c r="C394" t="s">
        <v>115</v>
      </c>
      <c r="D394" t="s">
        <v>815</v>
      </c>
      <c r="E394" t="s">
        <v>1289</v>
      </c>
      <c r="F394" t="s">
        <v>1289</v>
      </c>
      <c r="G394" t="s">
        <v>1391</v>
      </c>
      <c r="K394" t="s">
        <v>1394</v>
      </c>
      <c r="L394" t="s">
        <v>1424</v>
      </c>
      <c r="M394" t="s">
        <v>1352</v>
      </c>
      <c r="N394" t="s">
        <v>1318</v>
      </c>
    </row>
    <row r="395" spans="2:14" x14ac:dyDescent="0.35">
      <c r="B395" t="s">
        <v>962</v>
      </c>
      <c r="C395" t="s">
        <v>963</v>
      </c>
      <c r="D395" t="s">
        <v>976</v>
      </c>
      <c r="E395" t="s">
        <v>1289</v>
      </c>
      <c r="F395" t="s">
        <v>1289</v>
      </c>
      <c r="G395" t="s">
        <v>1391</v>
      </c>
      <c r="K395" t="s">
        <v>976</v>
      </c>
      <c r="L395" t="s">
        <v>934</v>
      </c>
      <c r="M395" t="s">
        <v>935</v>
      </c>
      <c r="N395" t="s">
        <v>1310</v>
      </c>
    </row>
    <row r="396" spans="2:14" x14ac:dyDescent="0.35">
      <c r="B396" t="s">
        <v>964</v>
      </c>
      <c r="C396" t="s">
        <v>965</v>
      </c>
      <c r="D396" t="s">
        <v>976</v>
      </c>
      <c r="E396" t="s">
        <v>1299</v>
      </c>
      <c r="F396" t="s">
        <v>1297</v>
      </c>
      <c r="G396" t="s">
        <v>1398</v>
      </c>
      <c r="K396" t="s">
        <v>976</v>
      </c>
      <c r="L396" t="s">
        <v>902</v>
      </c>
      <c r="M396" t="s">
        <v>903</v>
      </c>
      <c r="N396" t="s">
        <v>1601</v>
      </c>
    </row>
    <row r="397" spans="2:14" x14ac:dyDescent="0.35">
      <c r="B397" t="s">
        <v>425</v>
      </c>
      <c r="C397" t="s">
        <v>39</v>
      </c>
      <c r="D397" t="s">
        <v>817</v>
      </c>
      <c r="E397" t="s">
        <v>1291</v>
      </c>
      <c r="F397" t="s">
        <v>1287</v>
      </c>
      <c r="G397" t="s">
        <v>1398</v>
      </c>
      <c r="K397" t="s">
        <v>976</v>
      </c>
      <c r="L397" t="s">
        <v>883</v>
      </c>
      <c r="M397" t="s">
        <v>884</v>
      </c>
      <c r="N397" t="s">
        <v>1310</v>
      </c>
    </row>
    <row r="398" spans="2:14" x14ac:dyDescent="0.35">
      <c r="B398" t="s">
        <v>1101</v>
      </c>
      <c r="C398" t="s">
        <v>1185</v>
      </c>
      <c r="D398" t="s">
        <v>1219</v>
      </c>
      <c r="E398" t="s">
        <v>1306</v>
      </c>
      <c r="F398" t="s">
        <v>1329</v>
      </c>
      <c r="G398" t="s">
        <v>1395</v>
      </c>
      <c r="K398" t="s">
        <v>1219</v>
      </c>
      <c r="L398" t="s">
        <v>1429</v>
      </c>
      <c r="M398" t="s">
        <v>1357</v>
      </c>
      <c r="N398" t="s">
        <v>1310</v>
      </c>
    </row>
    <row r="399" spans="2:14" x14ac:dyDescent="0.35">
      <c r="B399" t="s">
        <v>413</v>
      </c>
      <c r="C399" t="s">
        <v>7</v>
      </c>
      <c r="D399" t="s">
        <v>812</v>
      </c>
      <c r="E399" t="s">
        <v>1060</v>
      </c>
      <c r="F399" t="s">
        <v>1297</v>
      </c>
      <c r="G399" t="s">
        <v>1395</v>
      </c>
      <c r="K399" t="s">
        <v>1394</v>
      </c>
      <c r="L399" t="s">
        <v>1455</v>
      </c>
      <c r="M399" t="s">
        <v>1369</v>
      </c>
      <c r="N399" t="s">
        <v>1299</v>
      </c>
    </row>
    <row r="400" spans="2:14" x14ac:dyDescent="0.35">
      <c r="B400" t="s">
        <v>1095</v>
      </c>
      <c r="C400" t="s">
        <v>1153</v>
      </c>
      <c r="D400" t="s">
        <v>1219</v>
      </c>
      <c r="E400" t="s">
        <v>1287</v>
      </c>
      <c r="F400" t="s">
        <v>1287</v>
      </c>
      <c r="G400" t="s">
        <v>1395</v>
      </c>
      <c r="K400" t="s">
        <v>822</v>
      </c>
      <c r="L400" t="s">
        <v>658</v>
      </c>
      <c r="M400" t="s">
        <v>57</v>
      </c>
      <c r="N400" t="s">
        <v>1293</v>
      </c>
    </row>
    <row r="401" spans="2:14" x14ac:dyDescent="0.35">
      <c r="B401" t="s">
        <v>1237</v>
      </c>
      <c r="C401" t="s">
        <v>1153</v>
      </c>
      <c r="D401" t="s">
        <v>1219</v>
      </c>
      <c r="E401" t="s">
        <v>1287</v>
      </c>
      <c r="F401" t="s">
        <v>1287</v>
      </c>
      <c r="G401" t="s">
        <v>1395</v>
      </c>
      <c r="K401" t="s">
        <v>1061</v>
      </c>
      <c r="L401" t="s">
        <v>587</v>
      </c>
      <c r="M401" t="s">
        <v>110</v>
      </c>
      <c r="N401" t="s">
        <v>1601</v>
      </c>
    </row>
    <row r="402" spans="2:14" x14ac:dyDescent="0.35">
      <c r="B402" t="s">
        <v>780</v>
      </c>
      <c r="C402" t="s">
        <v>383</v>
      </c>
      <c r="D402" t="s">
        <v>837</v>
      </c>
      <c r="E402" t="s">
        <v>1297</v>
      </c>
      <c r="F402" t="s">
        <v>1297</v>
      </c>
      <c r="G402" t="s">
        <v>1395</v>
      </c>
      <c r="K402" t="s">
        <v>1394</v>
      </c>
      <c r="L402" t="s">
        <v>1392</v>
      </c>
      <c r="M402" t="s">
        <v>1393</v>
      </c>
      <c r="N402" t="s">
        <v>1282</v>
      </c>
    </row>
    <row r="403" spans="2:14" x14ac:dyDescent="0.35">
      <c r="B403" t="s">
        <v>1115</v>
      </c>
      <c r="C403" t="s">
        <v>255</v>
      </c>
      <c r="D403" t="s">
        <v>1219</v>
      </c>
      <c r="E403" t="s">
        <v>1282</v>
      </c>
      <c r="F403" t="s">
        <v>1282</v>
      </c>
      <c r="G403" t="s">
        <v>1391</v>
      </c>
      <c r="K403" t="s">
        <v>1472</v>
      </c>
      <c r="L403" t="s">
        <v>1471</v>
      </c>
      <c r="M403" t="s">
        <v>263</v>
      </c>
      <c r="N403" t="s">
        <v>1060</v>
      </c>
    </row>
    <row r="404" spans="2:14" x14ac:dyDescent="0.35">
      <c r="K404" t="s">
        <v>1219</v>
      </c>
      <c r="L404" t="s">
        <v>1087</v>
      </c>
      <c r="M404" t="s">
        <v>1206</v>
      </c>
      <c r="N404" t="s">
        <v>1315</v>
      </c>
    </row>
    <row r="405" spans="2:14" x14ac:dyDescent="0.35">
      <c r="K405" t="s">
        <v>815</v>
      </c>
      <c r="L405" t="s">
        <v>656</v>
      </c>
      <c r="M405" t="s">
        <v>52</v>
      </c>
      <c r="N405" t="s">
        <v>1601</v>
      </c>
    </row>
    <row r="406" spans="2:14" x14ac:dyDescent="0.35">
      <c r="K406" t="s">
        <v>838</v>
      </c>
      <c r="L406" t="s">
        <v>1081</v>
      </c>
      <c r="M406" t="s">
        <v>888</v>
      </c>
      <c r="N406" t="s">
        <v>1309</v>
      </c>
    </row>
    <row r="407" spans="2:14" x14ac:dyDescent="0.35">
      <c r="K407" t="s">
        <v>814</v>
      </c>
      <c r="L407" t="s">
        <v>685</v>
      </c>
      <c r="M407" t="s">
        <v>122</v>
      </c>
      <c r="N407" t="s">
        <v>1286</v>
      </c>
    </row>
    <row r="408" spans="2:14" x14ac:dyDescent="0.35">
      <c r="K408" t="s">
        <v>822</v>
      </c>
      <c r="L408" t="s">
        <v>710</v>
      </c>
      <c r="M408" t="s">
        <v>190</v>
      </c>
      <c r="N408" t="s">
        <v>1601</v>
      </c>
    </row>
    <row r="409" spans="2:14" x14ac:dyDescent="0.35">
      <c r="K409" t="s">
        <v>1394</v>
      </c>
      <c r="L409" t="s">
        <v>1444</v>
      </c>
      <c r="M409" t="s">
        <v>1445</v>
      </c>
      <c r="N409" t="s">
        <v>1310</v>
      </c>
    </row>
    <row r="410" spans="2:14" x14ac:dyDescent="0.35">
      <c r="K410" t="s">
        <v>821</v>
      </c>
      <c r="L410" t="s">
        <v>634</v>
      </c>
      <c r="M410" t="s">
        <v>94</v>
      </c>
      <c r="N410" t="s">
        <v>1287</v>
      </c>
    </row>
    <row r="411" spans="2:14" x14ac:dyDescent="0.35">
      <c r="K411" t="s">
        <v>810</v>
      </c>
      <c r="L411" t="s">
        <v>689</v>
      </c>
      <c r="M411" t="s">
        <v>129</v>
      </c>
      <c r="N411" t="s">
        <v>1601</v>
      </c>
    </row>
    <row r="412" spans="2:14" x14ac:dyDescent="0.35">
      <c r="K412" t="s">
        <v>810</v>
      </c>
      <c r="L412" t="s">
        <v>740</v>
      </c>
      <c r="M412" t="s">
        <v>340</v>
      </c>
      <c r="N412" t="s">
        <v>1601</v>
      </c>
    </row>
    <row r="413" spans="2:14" x14ac:dyDescent="0.35">
      <c r="K413" t="s">
        <v>824</v>
      </c>
      <c r="L413" t="s">
        <v>559</v>
      </c>
      <c r="M413" t="s">
        <v>40</v>
      </c>
      <c r="N413" t="s">
        <v>1601</v>
      </c>
    </row>
    <row r="414" spans="2:14" x14ac:dyDescent="0.35">
      <c r="K414" t="s">
        <v>1394</v>
      </c>
      <c r="L414" t="s">
        <v>1453</v>
      </c>
      <c r="M414" t="s">
        <v>1371</v>
      </c>
      <c r="N414" t="s">
        <v>1300</v>
      </c>
    </row>
    <row r="415" spans="2:14" x14ac:dyDescent="0.35">
      <c r="K415" t="s">
        <v>834</v>
      </c>
      <c r="L415" t="s">
        <v>518</v>
      </c>
      <c r="M415" t="s">
        <v>178</v>
      </c>
      <c r="N415" t="s">
        <v>1601</v>
      </c>
    </row>
    <row r="416" spans="2:14" x14ac:dyDescent="0.35">
      <c r="K416" t="s">
        <v>835</v>
      </c>
      <c r="L416" t="s">
        <v>530</v>
      </c>
      <c r="M416" t="s">
        <v>1488</v>
      </c>
      <c r="N416" t="s">
        <v>1062</v>
      </c>
    </row>
    <row r="417" spans="11:14" x14ac:dyDescent="0.35">
      <c r="K417" t="s">
        <v>1219</v>
      </c>
      <c r="L417" t="s">
        <v>1112</v>
      </c>
      <c r="M417" t="s">
        <v>1198</v>
      </c>
      <c r="N417" t="s">
        <v>1300</v>
      </c>
    </row>
    <row r="418" spans="11:14" x14ac:dyDescent="0.35">
      <c r="K418" t="s">
        <v>1061</v>
      </c>
      <c r="L418" t="s">
        <v>498</v>
      </c>
      <c r="M418" t="s">
        <v>142</v>
      </c>
      <c r="N418" t="s">
        <v>1601</v>
      </c>
    </row>
    <row r="419" spans="11:14" x14ac:dyDescent="0.35">
      <c r="K419" t="s">
        <v>1394</v>
      </c>
      <c r="L419" t="s">
        <v>1418</v>
      </c>
      <c r="M419" t="s">
        <v>1348</v>
      </c>
      <c r="N419" t="s">
        <v>1302</v>
      </c>
    </row>
    <row r="420" spans="11:14" x14ac:dyDescent="0.35">
      <c r="K420" t="s">
        <v>1394</v>
      </c>
      <c r="L420" t="s">
        <v>1442</v>
      </c>
      <c r="M420" t="s">
        <v>1362</v>
      </c>
      <c r="N420" t="s">
        <v>1283</v>
      </c>
    </row>
    <row r="421" spans="11:14" x14ac:dyDescent="0.35">
      <c r="K421" t="s">
        <v>1219</v>
      </c>
      <c r="L421" t="s">
        <v>1104</v>
      </c>
      <c r="M421" t="s">
        <v>1412</v>
      </c>
      <c r="N421" t="s">
        <v>1283</v>
      </c>
    </row>
    <row r="422" spans="11:14" x14ac:dyDescent="0.35">
      <c r="K422" t="s">
        <v>976</v>
      </c>
      <c r="L422" t="s">
        <v>916</v>
      </c>
      <c r="M422" t="s">
        <v>917</v>
      </c>
      <c r="N422" t="s">
        <v>1062</v>
      </c>
    </row>
  </sheetData>
  <autoFilter ref="B2:G2" xr:uid="{6FB45EE1-3244-4F63-97E1-C2497C343D7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7F61-56A7-4B5E-8395-EBC3491EEC8A}">
  <dimension ref="C1:AB793"/>
  <sheetViews>
    <sheetView topLeftCell="W2" workbookViewId="0">
      <selection activeCell="X2" sqref="X2"/>
    </sheetView>
  </sheetViews>
  <sheetFormatPr defaultRowHeight="14.5" x14ac:dyDescent="0.35"/>
  <cols>
    <col min="3" max="3" width="40.54296875" bestFit="1" customWidth="1"/>
    <col min="4" max="4" width="47.36328125" bestFit="1" customWidth="1"/>
    <col min="6" max="6" width="40.54296875" bestFit="1" customWidth="1"/>
    <col min="7" max="7" width="51.7265625" bestFit="1" customWidth="1"/>
    <col min="11" max="11" width="40.54296875" bestFit="1" customWidth="1"/>
    <col min="12" max="12" width="57.08984375" bestFit="1" customWidth="1"/>
    <col min="13" max="13" width="18" bestFit="1" customWidth="1"/>
    <col min="24" max="24" width="40.54296875" bestFit="1" customWidth="1"/>
    <col min="25" max="25" width="53.1796875" bestFit="1" customWidth="1"/>
    <col min="26" max="26" width="26.453125" bestFit="1" customWidth="1"/>
    <col min="27" max="27" width="18.6328125" bestFit="1" customWidth="1"/>
    <col min="28" max="28" width="1.81640625" bestFit="1" customWidth="1"/>
  </cols>
  <sheetData>
    <row r="1" spans="3:28" x14ac:dyDescent="0.35">
      <c r="E1" s="3" t="s">
        <v>966</v>
      </c>
    </row>
    <row r="2" spans="3:28" x14ac:dyDescent="0.35">
      <c r="C2" t="s">
        <v>387</v>
      </c>
      <c r="D2" t="s">
        <v>0</v>
      </c>
      <c r="F2" s="3" t="s">
        <v>387</v>
      </c>
      <c r="G2" s="3" t="s">
        <v>0</v>
      </c>
      <c r="K2" s="57" t="s">
        <v>1216</v>
      </c>
      <c r="L2" s="57" t="s">
        <v>861</v>
      </c>
      <c r="M2" s="57" t="s">
        <v>1217</v>
      </c>
      <c r="N2" s="57" t="s">
        <v>1481</v>
      </c>
      <c r="X2" t="s">
        <v>1480</v>
      </c>
      <c r="Y2" t="s">
        <v>0</v>
      </c>
      <c r="Z2" t="s">
        <v>1751</v>
      </c>
      <c r="AA2" t="s">
        <v>1726</v>
      </c>
    </row>
    <row r="3" spans="3:28" x14ac:dyDescent="0.35">
      <c r="C3" t="s">
        <v>388</v>
      </c>
      <c r="D3" t="s">
        <v>389</v>
      </c>
      <c r="F3" t="s">
        <v>388</v>
      </c>
      <c r="G3" t="s">
        <v>389</v>
      </c>
      <c r="K3" s="57" t="s">
        <v>398</v>
      </c>
      <c r="L3" s="57" t="s">
        <v>4</v>
      </c>
      <c r="M3" s="57" t="s">
        <v>1061</v>
      </c>
      <c r="N3" t="s">
        <v>1396</v>
      </c>
      <c r="X3" t="str">
        <f>_xlfn.XLOOKUP(Y3,master!M:M,master!L:L)</f>
        <v>MANASH_AD_B2B</v>
      </c>
      <c r="Y3" t="s">
        <v>1151</v>
      </c>
      <c r="Z3" s="1">
        <v>500465</v>
      </c>
      <c r="AA3" s="1">
        <v>5320500</v>
      </c>
      <c r="AB3">
        <f>COUNTIFS(Base!$C:$C,MAPPING!X3)</f>
        <v>1</v>
      </c>
    </row>
    <row r="4" spans="3:28" x14ac:dyDescent="0.35">
      <c r="C4" t="s">
        <v>390</v>
      </c>
      <c r="D4" t="s">
        <v>6</v>
      </c>
      <c r="F4" t="s">
        <v>390</v>
      </c>
      <c r="G4" t="s">
        <v>6</v>
      </c>
      <c r="K4" s="57" t="s">
        <v>643</v>
      </c>
      <c r="L4" s="57" t="s">
        <v>5</v>
      </c>
      <c r="M4" s="57" t="s">
        <v>1061</v>
      </c>
      <c r="N4" t="s">
        <v>1312</v>
      </c>
      <c r="X4" t="str">
        <f>_xlfn.XLOOKUP(Y4,master!M:M,master!L:L)</f>
        <v>Raymond_Home_Ltd_B2B</v>
      </c>
      <c r="Y4" t="s">
        <v>4</v>
      </c>
      <c r="Z4" s="1">
        <v>361749</v>
      </c>
      <c r="AA4" s="1">
        <v>12830806</v>
      </c>
      <c r="AB4">
        <f>COUNTIFS(Base!$C:$C,MAPPING!X4)</f>
        <v>1</v>
      </c>
    </row>
    <row r="5" spans="3:28" x14ac:dyDescent="0.35">
      <c r="C5" t="s">
        <v>391</v>
      </c>
      <c r="D5" t="s">
        <v>392</v>
      </c>
      <c r="F5" t="s">
        <v>391</v>
      </c>
      <c r="G5" t="s">
        <v>392</v>
      </c>
      <c r="K5" s="57" t="s">
        <v>642</v>
      </c>
      <c r="L5" s="57" t="s">
        <v>1218</v>
      </c>
      <c r="M5" s="57" t="s">
        <v>810</v>
      </c>
      <c r="N5" t="s">
        <v>1312</v>
      </c>
      <c r="X5" t="str">
        <f>_xlfn.XLOOKUP(Y5,master!M:M,master!L:L)</f>
        <v>AbrosSports_B2B</v>
      </c>
      <c r="Y5" t="s">
        <v>10</v>
      </c>
      <c r="Z5" s="1">
        <v>119504</v>
      </c>
      <c r="AA5" s="1">
        <v>3663682</v>
      </c>
      <c r="AB5">
        <f>COUNTIFS(Base!$C:$C,MAPPING!X5)</f>
        <v>1</v>
      </c>
    </row>
    <row r="6" spans="3:28" x14ac:dyDescent="0.35">
      <c r="C6" t="s">
        <v>393</v>
      </c>
      <c r="D6" t="s">
        <v>43</v>
      </c>
      <c r="F6" t="s">
        <v>393</v>
      </c>
      <c r="G6" t="s">
        <v>43</v>
      </c>
      <c r="K6" s="57" t="s">
        <v>394</v>
      </c>
      <c r="L6" s="57" t="s">
        <v>10</v>
      </c>
      <c r="M6" s="57" t="s">
        <v>813</v>
      </c>
      <c r="N6" t="s">
        <v>1396</v>
      </c>
      <c r="X6" t="str">
        <f>_xlfn.XLOOKUP(Y6,master!M:M,master!L:L)</f>
        <v>OLA_B2B</v>
      </c>
      <c r="Y6" t="s">
        <v>1</v>
      </c>
      <c r="Z6" s="1">
        <v>373314</v>
      </c>
      <c r="AA6" s="1">
        <v>4754392</v>
      </c>
      <c r="AB6">
        <f>COUNTIFS(Base!$C:$C,MAPPING!X6)</f>
        <v>1</v>
      </c>
    </row>
    <row r="7" spans="3:28" x14ac:dyDescent="0.35">
      <c r="C7" t="s">
        <v>394</v>
      </c>
      <c r="D7" t="s">
        <v>10</v>
      </c>
      <c r="F7" t="s">
        <v>394</v>
      </c>
      <c r="G7" t="s">
        <v>10</v>
      </c>
      <c r="K7" s="57" t="s">
        <v>413</v>
      </c>
      <c r="L7" s="57" t="s">
        <v>7</v>
      </c>
      <c r="M7" s="57" t="s">
        <v>812</v>
      </c>
      <c r="N7" t="s">
        <v>1297</v>
      </c>
      <c r="X7" t="str">
        <f>_xlfn.XLOOKUP(Y7,master!M:M,master!L:L)</f>
        <v>CULTSPORT_B2B</v>
      </c>
      <c r="Y7" t="s">
        <v>78</v>
      </c>
      <c r="Z7" s="1">
        <v>194635</v>
      </c>
      <c r="AA7" s="1">
        <v>3174783</v>
      </c>
      <c r="AB7">
        <f>COUNTIFS(Base!$C:$C,MAPPING!X7)</f>
        <v>1</v>
      </c>
    </row>
    <row r="8" spans="3:28" x14ac:dyDescent="0.35">
      <c r="C8" t="s">
        <v>395</v>
      </c>
      <c r="D8" t="s">
        <v>16</v>
      </c>
      <c r="F8" t="s">
        <v>395</v>
      </c>
      <c r="G8" t="s">
        <v>16</v>
      </c>
      <c r="K8" s="57" t="s">
        <v>1035</v>
      </c>
      <c r="L8" s="57" t="s">
        <v>78</v>
      </c>
      <c r="M8" s="57" t="s">
        <v>828</v>
      </c>
      <c r="N8" t="s">
        <v>1312</v>
      </c>
      <c r="X8" t="str">
        <f>_xlfn.XLOOKUP(Y8,master!M:M,master!L:L)</f>
        <v>PICKRR_B2B</v>
      </c>
      <c r="Y8" t="s">
        <v>3</v>
      </c>
      <c r="Z8" s="1">
        <v>359571</v>
      </c>
      <c r="AA8" s="1">
        <v>4212428</v>
      </c>
      <c r="AB8">
        <f>COUNTIFS(Base!$C:$C,MAPPING!X8)</f>
        <v>1</v>
      </c>
    </row>
    <row r="9" spans="3:28" x14ac:dyDescent="0.35">
      <c r="C9" t="s">
        <v>396</v>
      </c>
      <c r="D9" t="s">
        <v>9</v>
      </c>
      <c r="F9" t="s">
        <v>396</v>
      </c>
      <c r="G9" t="s">
        <v>9</v>
      </c>
      <c r="K9" s="57" t="s">
        <v>420</v>
      </c>
      <c r="L9" s="57" t="s">
        <v>11</v>
      </c>
      <c r="M9" s="57" t="s">
        <v>1061</v>
      </c>
      <c r="N9" t="s">
        <v>1294</v>
      </c>
      <c r="X9" t="str">
        <f>_xlfn.XLOOKUP(Y9,master!M:M,master!L:L)</f>
        <v>Adidas_B2B</v>
      </c>
      <c r="Y9" t="s">
        <v>18</v>
      </c>
      <c r="Z9" s="1">
        <v>168603</v>
      </c>
      <c r="AA9" s="1">
        <v>2836295</v>
      </c>
      <c r="AB9">
        <f>COUNTIFS(Base!$C:$C,MAPPING!X9)</f>
        <v>1</v>
      </c>
    </row>
    <row r="10" spans="3:28" x14ac:dyDescent="0.35">
      <c r="C10" t="s">
        <v>397</v>
      </c>
      <c r="D10" t="s">
        <v>174</v>
      </c>
      <c r="F10" t="s">
        <v>397</v>
      </c>
      <c r="G10" t="s">
        <v>174</v>
      </c>
      <c r="K10" s="57" t="s">
        <v>1110</v>
      </c>
      <c r="L10" s="57" t="s">
        <v>1151</v>
      </c>
      <c r="M10" s="57" t="s">
        <v>1219</v>
      </c>
      <c r="N10" t="s">
        <v>1289</v>
      </c>
      <c r="X10" t="str">
        <f>_xlfn.XLOOKUP(Y10,master!M:M,master!L:L)</f>
        <v>PUMA_SPORT_B2B</v>
      </c>
      <c r="Y10" t="s">
        <v>13</v>
      </c>
      <c r="Z10" s="1">
        <v>785133</v>
      </c>
      <c r="AA10" s="1">
        <v>5943354</v>
      </c>
      <c r="AB10">
        <f>COUNTIFS(Base!$C:$C,MAPPING!X10)</f>
        <v>1</v>
      </c>
    </row>
    <row r="11" spans="3:28" x14ac:dyDescent="0.35">
      <c r="C11" t="s">
        <v>398</v>
      </c>
      <c r="D11" t="s">
        <v>399</v>
      </c>
      <c r="F11" t="s">
        <v>398</v>
      </c>
      <c r="G11" t="s">
        <v>399</v>
      </c>
      <c r="K11" s="57" t="s">
        <v>795</v>
      </c>
      <c r="L11" s="57" t="s">
        <v>8</v>
      </c>
      <c r="M11" s="57" t="s">
        <v>817</v>
      </c>
      <c r="N11" t="s">
        <v>1396</v>
      </c>
      <c r="X11" t="str">
        <f>_xlfn.XLOOKUP(Y11,master!M:M,master!L:L)</f>
        <v>BENETTON_B2B</v>
      </c>
      <c r="Y11" t="s">
        <v>1152</v>
      </c>
      <c r="Z11" s="1">
        <v>177778</v>
      </c>
      <c r="AA11" s="1">
        <v>2083204</v>
      </c>
      <c r="AB11">
        <f>COUNTIFS(Base!$C:$C,MAPPING!X11)</f>
        <v>1</v>
      </c>
    </row>
    <row r="12" spans="3:28" x14ac:dyDescent="0.35">
      <c r="C12" t="s">
        <v>400</v>
      </c>
      <c r="D12" t="s">
        <v>83</v>
      </c>
      <c r="F12" t="s">
        <v>400</v>
      </c>
      <c r="G12" t="s">
        <v>83</v>
      </c>
      <c r="K12" s="57" t="s">
        <v>1043</v>
      </c>
      <c r="L12" s="57" t="s">
        <v>108</v>
      </c>
      <c r="M12" s="57" t="s">
        <v>1061</v>
      </c>
      <c r="N12" t="s">
        <v>1312</v>
      </c>
      <c r="X12" t="str">
        <f>_xlfn.XLOOKUP(Y12,master!M:M,master!L:L)</f>
        <v>Yolojet_Internet_Services_Private_Limited_B2B</v>
      </c>
      <c r="Y12" t="s">
        <v>7</v>
      </c>
      <c r="Z12" s="1">
        <v>185286</v>
      </c>
      <c r="AA12" s="1">
        <v>2899188</v>
      </c>
      <c r="AB12">
        <f>COUNTIFS(Base!$C:$C,MAPPING!X12)</f>
        <v>1</v>
      </c>
    </row>
    <row r="13" spans="3:28" x14ac:dyDescent="0.35">
      <c r="C13" t="s">
        <v>401</v>
      </c>
      <c r="D13" t="s">
        <v>13</v>
      </c>
      <c r="F13" t="s">
        <v>401</v>
      </c>
      <c r="G13" t="s">
        <v>13</v>
      </c>
      <c r="K13" s="57" t="s">
        <v>993</v>
      </c>
      <c r="L13" s="57" t="s">
        <v>21</v>
      </c>
      <c r="M13" s="57" t="s">
        <v>1061</v>
      </c>
      <c r="N13" t="s">
        <v>1312</v>
      </c>
      <c r="X13" t="str">
        <f>_xlfn.XLOOKUP(Y13,master!M:M,master!L:L)</f>
        <v>Apollosupplychain_B2B</v>
      </c>
      <c r="Y13" t="s">
        <v>11</v>
      </c>
      <c r="Z13" s="1">
        <v>156265</v>
      </c>
      <c r="AA13" s="1">
        <v>2435105</v>
      </c>
      <c r="AB13">
        <f>COUNTIFS(Base!$C:$C,MAPPING!X13)</f>
        <v>1</v>
      </c>
    </row>
    <row r="14" spans="3:28" x14ac:dyDescent="0.35">
      <c r="C14" t="s">
        <v>402</v>
      </c>
      <c r="D14" t="s">
        <v>211</v>
      </c>
      <c r="F14" t="s">
        <v>402</v>
      </c>
      <c r="G14" t="s">
        <v>211</v>
      </c>
      <c r="K14" s="57" t="s">
        <v>391</v>
      </c>
      <c r="L14" s="57" t="s">
        <v>22</v>
      </c>
      <c r="M14" s="57" t="s">
        <v>1061</v>
      </c>
      <c r="N14" t="s">
        <v>1407</v>
      </c>
      <c r="X14" t="str">
        <f>_xlfn.XLOOKUP(Y14,master!M:M,master!L:L)</f>
        <v>EurekaForbes_Bangalore_B2B</v>
      </c>
      <c r="Y14" t="s">
        <v>352</v>
      </c>
      <c r="Z14" s="1">
        <v>252306</v>
      </c>
      <c r="AA14" s="1">
        <v>2802137</v>
      </c>
      <c r="AB14">
        <f>COUNTIFS(Base!$C:$C,MAPPING!X14)</f>
        <v>1</v>
      </c>
    </row>
    <row r="15" spans="3:28" x14ac:dyDescent="0.35">
      <c r="C15" t="s">
        <v>403</v>
      </c>
      <c r="D15" t="s">
        <v>208</v>
      </c>
      <c r="F15" t="s">
        <v>403</v>
      </c>
      <c r="G15" t="s">
        <v>208</v>
      </c>
      <c r="K15" s="57" t="s">
        <v>646</v>
      </c>
      <c r="L15" s="57" t="s">
        <v>23</v>
      </c>
      <c r="M15" s="57" t="s">
        <v>819</v>
      </c>
      <c r="N15" t="s">
        <v>1300</v>
      </c>
      <c r="X15" t="str">
        <f>_xlfn.XLOOKUP(Y15,master!M:M,master!L:L)</f>
        <v>MVIKAS_B2B</v>
      </c>
      <c r="Y15" t="s">
        <v>23</v>
      </c>
      <c r="Z15" s="1">
        <v>88588</v>
      </c>
      <c r="AA15" s="1">
        <v>1160103</v>
      </c>
      <c r="AB15">
        <f>COUNTIFS(Base!$C:$C,MAPPING!X15)</f>
        <v>1</v>
      </c>
    </row>
    <row r="16" spans="3:28" x14ac:dyDescent="0.35">
      <c r="C16" t="s">
        <v>404</v>
      </c>
      <c r="D16" t="s">
        <v>405</v>
      </c>
      <c r="F16" t="s">
        <v>404</v>
      </c>
      <c r="G16" t="s">
        <v>405</v>
      </c>
      <c r="K16" s="57" t="s">
        <v>1091</v>
      </c>
      <c r="L16" s="57" t="s">
        <v>1152</v>
      </c>
      <c r="M16" s="57" t="s">
        <v>1219</v>
      </c>
      <c r="N16" t="s">
        <v>1282</v>
      </c>
      <c r="X16" t="str">
        <f>_xlfn.XLOOKUP(Y16,master!M:M,master!L:L)</f>
        <v>ATMOS_CARE_B2B</v>
      </c>
      <c r="Y16" t="s">
        <v>48</v>
      </c>
      <c r="Z16" s="1">
        <v>236801</v>
      </c>
      <c r="AA16" s="1">
        <v>2750762</v>
      </c>
      <c r="AB16">
        <f>COUNTIFS(Base!$C:$C,MAPPING!X16)</f>
        <v>1</v>
      </c>
    </row>
    <row r="17" spans="3:28" x14ac:dyDescent="0.35">
      <c r="C17" t="s">
        <v>406</v>
      </c>
      <c r="D17" t="s">
        <v>210</v>
      </c>
      <c r="F17" t="s">
        <v>406</v>
      </c>
      <c r="G17" t="s">
        <v>210</v>
      </c>
      <c r="K17" s="57" t="s">
        <v>980</v>
      </c>
      <c r="L17" s="57" t="s">
        <v>1220</v>
      </c>
      <c r="M17" s="57" t="s">
        <v>1061</v>
      </c>
      <c r="N17" t="s">
        <v>1295</v>
      </c>
      <c r="X17" t="str">
        <f>_xlfn.XLOOKUP(Y17,master!M:M,master!L:L)</f>
        <v>VIP_B2B</v>
      </c>
      <c r="Y17" t="s">
        <v>1386</v>
      </c>
      <c r="Z17" s="1">
        <v>210419</v>
      </c>
      <c r="AA17" s="1">
        <v>2153156</v>
      </c>
      <c r="AB17">
        <f>COUNTIFS(Base!$C:$C,MAPPING!X17)</f>
        <v>1</v>
      </c>
    </row>
    <row r="18" spans="3:28" x14ac:dyDescent="0.35">
      <c r="C18" t="s">
        <v>407</v>
      </c>
      <c r="D18" t="s">
        <v>408</v>
      </c>
      <c r="F18" t="s">
        <v>407</v>
      </c>
      <c r="G18" t="s">
        <v>408</v>
      </c>
      <c r="K18" s="57" t="s">
        <v>696</v>
      </c>
      <c r="L18" s="57" t="s">
        <v>140</v>
      </c>
      <c r="M18" s="57" t="s">
        <v>822</v>
      </c>
      <c r="N18" t="s">
        <v>1289</v>
      </c>
      <c r="X18" t="str">
        <f>_xlfn.XLOOKUP(Y18,master!M:M,master!L:L)</f>
        <v>GlobalBees_B2B</v>
      </c>
      <c r="Y18" t="s">
        <v>43</v>
      </c>
      <c r="Z18" s="1">
        <v>96311</v>
      </c>
      <c r="AA18" s="1">
        <v>2327862</v>
      </c>
      <c r="AB18">
        <f>COUNTIFS(Base!$C:$C,MAPPING!X18)</f>
        <v>1</v>
      </c>
    </row>
    <row r="19" spans="3:28" x14ac:dyDescent="0.35">
      <c r="C19" t="s">
        <v>409</v>
      </c>
      <c r="D19" t="s">
        <v>224</v>
      </c>
      <c r="F19" t="s">
        <v>409</v>
      </c>
      <c r="G19" t="s">
        <v>224</v>
      </c>
      <c r="K19" s="57" t="s">
        <v>521</v>
      </c>
      <c r="L19" s="57" t="s">
        <v>14</v>
      </c>
      <c r="M19" s="57" t="s">
        <v>1221</v>
      </c>
      <c r="N19" t="s">
        <v>1062</v>
      </c>
      <c r="X19" t="str">
        <f>_xlfn.XLOOKUP(Y19,master!M:M,master!L:L)</f>
        <v>PUREPLAY_B2B</v>
      </c>
      <c r="Y19" t="s">
        <v>19</v>
      </c>
      <c r="Z19" s="1">
        <v>94596</v>
      </c>
      <c r="AA19" s="1">
        <v>1119185</v>
      </c>
      <c r="AB19">
        <f>COUNTIFS(Base!$C:$C,MAPPING!X19)</f>
        <v>1</v>
      </c>
    </row>
    <row r="20" spans="3:28" x14ac:dyDescent="0.35">
      <c r="C20" t="s">
        <v>410</v>
      </c>
      <c r="D20" t="s">
        <v>197</v>
      </c>
      <c r="F20" t="s">
        <v>410</v>
      </c>
      <c r="G20" t="s">
        <v>197</v>
      </c>
      <c r="K20" s="57" t="s">
        <v>545</v>
      </c>
      <c r="L20" s="57" t="s">
        <v>2</v>
      </c>
      <c r="M20" s="57" t="s">
        <v>1061</v>
      </c>
      <c r="N20" t="s">
        <v>1289</v>
      </c>
      <c r="X20" t="str">
        <f>_xlfn.XLOOKUP(Y20,master!M:M,master!L:L)</f>
        <v>Campus_B2B</v>
      </c>
      <c r="Y20" t="s">
        <v>2</v>
      </c>
      <c r="Z20" s="1">
        <v>571090</v>
      </c>
      <c r="AA20" s="1">
        <v>5441432</v>
      </c>
      <c r="AB20">
        <f>COUNTIFS(Base!$C:$C,MAPPING!X20)</f>
        <v>1</v>
      </c>
    </row>
    <row r="21" spans="3:28" x14ac:dyDescent="0.35">
      <c r="C21" t="s">
        <v>411</v>
      </c>
      <c r="D21" t="s">
        <v>217</v>
      </c>
      <c r="F21" t="s">
        <v>411</v>
      </c>
      <c r="G21" t="s">
        <v>217</v>
      </c>
      <c r="K21" s="57" t="s">
        <v>985</v>
      </c>
      <c r="L21" s="57" t="s">
        <v>1222</v>
      </c>
      <c r="M21" s="57" t="s">
        <v>1061</v>
      </c>
      <c r="N21" t="s">
        <v>1289</v>
      </c>
      <c r="X21" t="str">
        <f>_xlfn.XLOOKUP(Y21,master!M:M,master!L:L)</f>
        <v>ARVIND LIFESTYLE_KG</v>
      </c>
      <c r="Y21" t="s">
        <v>169</v>
      </c>
      <c r="Z21" s="1">
        <v>72911</v>
      </c>
      <c r="AA21" s="1">
        <v>977441</v>
      </c>
      <c r="AB21">
        <f>COUNTIFS(Base!$C:$C,MAPPING!X21)</f>
        <v>0</v>
      </c>
    </row>
    <row r="22" spans="3:28" x14ac:dyDescent="0.35">
      <c r="C22" t="s">
        <v>412</v>
      </c>
      <c r="D22" t="s">
        <v>215</v>
      </c>
      <c r="F22" t="s">
        <v>412</v>
      </c>
      <c r="G22" t="s">
        <v>215</v>
      </c>
      <c r="K22" s="57" t="s">
        <v>981</v>
      </c>
      <c r="L22" s="57" t="s">
        <v>6</v>
      </c>
      <c r="M22" s="57" t="s">
        <v>811</v>
      </c>
      <c r="N22" t="s">
        <v>1062</v>
      </c>
      <c r="X22" t="str">
        <f>_xlfn.XLOOKUP(Y22,master!M:M,master!L:L)</f>
        <v>Dollar_B2B</v>
      </c>
      <c r="Y22" t="s">
        <v>14</v>
      </c>
      <c r="Z22" s="1">
        <v>134125</v>
      </c>
      <c r="AA22" s="1">
        <v>1381802</v>
      </c>
      <c r="AB22">
        <f>COUNTIFS(Base!$C:$C,MAPPING!X22)</f>
        <v>1</v>
      </c>
    </row>
    <row r="23" spans="3:28" x14ac:dyDescent="0.35">
      <c r="C23" t="s">
        <v>413</v>
      </c>
      <c r="D23" t="s">
        <v>7</v>
      </c>
      <c r="F23" t="s">
        <v>413</v>
      </c>
      <c r="G23" t="s">
        <v>7</v>
      </c>
      <c r="K23" s="57" t="s">
        <v>470</v>
      </c>
      <c r="L23" s="57" t="s">
        <v>48</v>
      </c>
      <c r="M23" s="57" t="s">
        <v>813</v>
      </c>
      <c r="N23" t="s">
        <v>1297</v>
      </c>
      <c r="X23" t="str">
        <f>_xlfn.XLOOKUP(Y23,master!M:M,master!L:L)</f>
        <v>Signify_East_Secondary_B2B</v>
      </c>
      <c r="Y23" t="s">
        <v>6</v>
      </c>
      <c r="Z23" s="1">
        <v>404357</v>
      </c>
      <c r="AA23" s="1">
        <v>3529964</v>
      </c>
      <c r="AB23">
        <f>COUNTIFS(Base!$C:$C,MAPPING!X23)</f>
        <v>1</v>
      </c>
    </row>
    <row r="24" spans="3:28" x14ac:dyDescent="0.35">
      <c r="C24" t="s">
        <v>414</v>
      </c>
      <c r="D24" t="s">
        <v>415</v>
      </c>
      <c r="F24" t="s">
        <v>414</v>
      </c>
      <c r="G24" t="s">
        <v>415</v>
      </c>
      <c r="K24" s="57" t="s">
        <v>556</v>
      </c>
      <c r="L24" s="57" t="s">
        <v>41</v>
      </c>
      <c r="M24" s="57" t="s">
        <v>1223</v>
      </c>
      <c r="N24" t="s">
        <v>1287</v>
      </c>
      <c r="X24" t="str">
        <f>_xlfn.XLOOKUP(Y24,master!M:M,master!L:L)</f>
        <v>HONASA_B2B</v>
      </c>
      <c r="Y24" t="s">
        <v>34</v>
      </c>
      <c r="Z24" s="1">
        <v>44376</v>
      </c>
      <c r="AA24" s="1">
        <v>608847</v>
      </c>
      <c r="AB24">
        <f>COUNTIFS(Base!$C:$C,MAPPING!X24)</f>
        <v>1</v>
      </c>
    </row>
    <row r="25" spans="3:28" x14ac:dyDescent="0.35">
      <c r="C25" t="s">
        <v>416</v>
      </c>
      <c r="D25" t="s">
        <v>417</v>
      </c>
      <c r="F25" t="s">
        <v>416</v>
      </c>
      <c r="G25" t="s">
        <v>417</v>
      </c>
      <c r="K25" s="57" t="s">
        <v>984</v>
      </c>
      <c r="L25" s="57" t="s">
        <v>59</v>
      </c>
      <c r="M25" s="57" t="s">
        <v>1061</v>
      </c>
      <c r="N25" t="s">
        <v>1062</v>
      </c>
      <c r="X25" t="str">
        <f>_xlfn.XLOOKUP(Y25,master!M:M,master!L:L)</f>
        <v>Micro_Footwear_B2B</v>
      </c>
      <c r="Y25" t="s">
        <v>8</v>
      </c>
      <c r="Z25" s="1">
        <v>27704</v>
      </c>
      <c r="AA25" s="1">
        <v>1157432</v>
      </c>
      <c r="AB25">
        <f>COUNTIFS(Base!$C:$C,MAPPING!X25)</f>
        <v>1</v>
      </c>
    </row>
    <row r="26" spans="3:28" x14ac:dyDescent="0.35">
      <c r="C26" t="s">
        <v>418</v>
      </c>
      <c r="D26" t="s">
        <v>33</v>
      </c>
      <c r="F26" t="s">
        <v>418</v>
      </c>
      <c r="G26" t="s">
        <v>33</v>
      </c>
      <c r="K26" s="57" t="s">
        <v>1148</v>
      </c>
      <c r="L26" s="57" t="s">
        <v>108</v>
      </c>
      <c r="M26" s="57" t="s">
        <v>1061</v>
      </c>
      <c r="N26" t="s">
        <v>1312</v>
      </c>
      <c r="X26" t="str">
        <f>_xlfn.XLOOKUP(Y26,master!M:M,master!L:L)</f>
        <v>DSR_FREIGHT_B2B</v>
      </c>
      <c r="Y26" t="s">
        <v>351</v>
      </c>
      <c r="Z26" s="1">
        <v>106163</v>
      </c>
      <c r="AA26" s="1">
        <v>1327204</v>
      </c>
      <c r="AB26">
        <f>COUNTIFS(Base!$C:$C,MAPPING!X26)</f>
        <v>1</v>
      </c>
    </row>
    <row r="27" spans="3:28" x14ac:dyDescent="0.35">
      <c r="C27" t="s">
        <v>419</v>
      </c>
      <c r="D27" t="s">
        <v>240</v>
      </c>
      <c r="F27" t="s">
        <v>419</v>
      </c>
      <c r="G27" t="s">
        <v>240</v>
      </c>
      <c r="K27" s="57" t="s">
        <v>1224</v>
      </c>
      <c r="L27" s="57" t="s">
        <v>352</v>
      </c>
      <c r="M27" s="57" t="s">
        <v>837</v>
      </c>
      <c r="N27" t="s">
        <v>1297</v>
      </c>
      <c r="X27" t="str">
        <f>_xlfn.XLOOKUP(Y27,master!M:M,master!L:L)</f>
        <v>Modenik_ecom_B2B</v>
      </c>
      <c r="Y27" t="s">
        <v>21</v>
      </c>
      <c r="Z27" s="1">
        <v>74570</v>
      </c>
      <c r="AA27" s="1">
        <v>1476437</v>
      </c>
      <c r="AB27">
        <f>COUNTIFS(Base!$C:$C,MAPPING!X27)</f>
        <v>1</v>
      </c>
    </row>
    <row r="28" spans="3:28" x14ac:dyDescent="0.35">
      <c r="C28" t="s">
        <v>420</v>
      </c>
      <c r="D28" t="s">
        <v>11</v>
      </c>
      <c r="F28" t="s">
        <v>420</v>
      </c>
      <c r="G28" t="s">
        <v>11</v>
      </c>
      <c r="K28" s="57" t="s">
        <v>739</v>
      </c>
      <c r="L28" s="57" t="s">
        <v>339</v>
      </c>
      <c r="M28" s="57" t="s">
        <v>837</v>
      </c>
      <c r="N28" t="s">
        <v>1294</v>
      </c>
      <c r="X28" t="str">
        <f>_xlfn.XLOOKUP(Y28,master!M:M,master!L:L)</f>
        <v>Zebronics_Ecom_B2B</v>
      </c>
      <c r="Y28" t="s">
        <v>1153</v>
      </c>
      <c r="Z28" s="1">
        <v>67848</v>
      </c>
      <c r="AA28" s="1">
        <v>781372</v>
      </c>
      <c r="AB28">
        <f>COUNTIFS(Base!$C:$C,MAPPING!X28)</f>
        <v>1</v>
      </c>
    </row>
    <row r="29" spans="3:28" x14ac:dyDescent="0.35">
      <c r="C29" t="s">
        <v>421</v>
      </c>
      <c r="D29" t="s">
        <v>422</v>
      </c>
      <c r="F29" t="s">
        <v>421</v>
      </c>
      <c r="G29" t="s">
        <v>422</v>
      </c>
      <c r="K29" s="57" t="s">
        <v>918</v>
      </c>
      <c r="L29" s="57" t="s">
        <v>919</v>
      </c>
      <c r="M29" s="57" t="s">
        <v>976</v>
      </c>
      <c r="N29" t="s">
        <v>1296</v>
      </c>
      <c r="X29" t="str">
        <f>_xlfn.XLOOKUP(Y29,master!M:M,master!L:L)</f>
        <v>TECHNO_SPORTSWEAR_B2B</v>
      </c>
      <c r="Y29" t="s">
        <v>1154</v>
      </c>
      <c r="Z29" s="1">
        <v>133054</v>
      </c>
      <c r="AA29" s="1">
        <v>1378793</v>
      </c>
      <c r="AB29">
        <f>COUNTIFS(Base!$C:$C,MAPPING!X29)</f>
        <v>1</v>
      </c>
    </row>
    <row r="30" spans="3:28" x14ac:dyDescent="0.35">
      <c r="C30" t="s">
        <v>423</v>
      </c>
      <c r="D30" t="s">
        <v>241</v>
      </c>
      <c r="F30" t="s">
        <v>423</v>
      </c>
      <c r="G30" t="s">
        <v>241</v>
      </c>
      <c r="K30" s="57" t="s">
        <v>750</v>
      </c>
      <c r="L30" s="57" t="s">
        <v>351</v>
      </c>
      <c r="M30" s="57" t="s">
        <v>837</v>
      </c>
      <c r="N30" t="s">
        <v>1297</v>
      </c>
      <c r="X30" t="str">
        <f>_xlfn.XLOOKUP(Y30,master!M:M,master!L:L)</f>
        <v>PIKALL_B2B</v>
      </c>
      <c r="Y30" t="s">
        <v>1163</v>
      </c>
      <c r="Z30" s="1">
        <v>80443</v>
      </c>
      <c r="AA30" s="1">
        <v>885172</v>
      </c>
      <c r="AB30">
        <f>COUNTIFS(Base!$C:$C,MAPPING!X30)</f>
        <v>1</v>
      </c>
    </row>
    <row r="31" spans="3:28" x14ac:dyDescent="0.35">
      <c r="C31" t="s">
        <v>424</v>
      </c>
      <c r="D31" t="s">
        <v>220</v>
      </c>
      <c r="F31" t="s">
        <v>424</v>
      </c>
      <c r="G31" t="s">
        <v>220</v>
      </c>
      <c r="K31" s="57" t="s">
        <v>649</v>
      </c>
      <c r="L31" s="57" t="s">
        <v>28</v>
      </c>
      <c r="M31" s="57" t="s">
        <v>810</v>
      </c>
      <c r="N31" t="s">
        <v>1289</v>
      </c>
      <c r="X31" t="str">
        <f>_xlfn.XLOOKUP(Y31,master!M:M,master!L:L)</f>
        <v>MOSAIC_B2B</v>
      </c>
      <c r="Y31" t="s">
        <v>26</v>
      </c>
      <c r="Z31" s="1">
        <v>27193</v>
      </c>
      <c r="AA31" s="1">
        <v>421748</v>
      </c>
      <c r="AB31">
        <f>COUNTIFS(Base!$C:$C,MAPPING!X31)</f>
        <v>1</v>
      </c>
    </row>
    <row r="32" spans="3:28" x14ac:dyDescent="0.35">
      <c r="C32" t="s">
        <v>425</v>
      </c>
      <c r="D32" t="s">
        <v>39</v>
      </c>
      <c r="F32" t="s">
        <v>425</v>
      </c>
      <c r="G32" t="s">
        <v>39</v>
      </c>
      <c r="K32" s="57" t="s">
        <v>396</v>
      </c>
      <c r="L32" s="57" t="s">
        <v>9</v>
      </c>
      <c r="M32" s="57" t="s">
        <v>1061</v>
      </c>
      <c r="N32" t="s">
        <v>1407</v>
      </c>
      <c r="X32" t="str">
        <f>_xlfn.XLOOKUP(Y32,master!M:M,master!L:L)</f>
        <v>GALA_B2B</v>
      </c>
      <c r="Y32" t="s">
        <v>1169</v>
      </c>
      <c r="Z32" s="1">
        <v>103418</v>
      </c>
      <c r="AA32" s="1">
        <v>1495772</v>
      </c>
      <c r="AB32">
        <f>COUNTIFS(Base!$C:$C,MAPPING!X32)</f>
        <v>1</v>
      </c>
    </row>
    <row r="33" spans="3:28" x14ac:dyDescent="0.35">
      <c r="C33" t="s">
        <v>426</v>
      </c>
      <c r="D33" t="s">
        <v>160</v>
      </c>
      <c r="F33" t="s">
        <v>426</v>
      </c>
      <c r="G33" t="s">
        <v>160</v>
      </c>
      <c r="K33" s="57" t="s">
        <v>989</v>
      </c>
      <c r="L33" s="57" t="s">
        <v>6</v>
      </c>
      <c r="M33" s="57" t="s">
        <v>811</v>
      </c>
      <c r="N33" t="s">
        <v>1062</v>
      </c>
      <c r="X33" t="str">
        <f>_xlfn.XLOOKUP(Y33,master!M:M,master!L:L)</f>
        <v>JQR_B2B</v>
      </c>
      <c r="Y33" t="s">
        <v>28</v>
      </c>
      <c r="Z33" s="1">
        <v>133584</v>
      </c>
      <c r="AA33" s="1">
        <v>1574464</v>
      </c>
      <c r="AB33">
        <f>COUNTIFS(Base!$C:$C,MAPPING!X33)</f>
        <v>1</v>
      </c>
    </row>
    <row r="34" spans="3:28" x14ac:dyDescent="0.35">
      <c r="C34" t="s">
        <v>427</v>
      </c>
      <c r="D34" t="s">
        <v>206</v>
      </c>
      <c r="F34" t="s">
        <v>427</v>
      </c>
      <c r="G34" t="s">
        <v>206</v>
      </c>
      <c r="K34" s="57" t="s">
        <v>889</v>
      </c>
      <c r="L34" s="57" t="s">
        <v>890</v>
      </c>
      <c r="M34" s="57" t="s">
        <v>976</v>
      </c>
      <c r="N34" t="s">
        <v>1283</v>
      </c>
      <c r="X34" t="str">
        <f>_xlfn.XLOOKUP(Y34,master!M:M,master!L:L)</f>
        <v>SHREE_KARNI_B2B</v>
      </c>
      <c r="Y34" t="s">
        <v>79</v>
      </c>
      <c r="Z34" s="1">
        <v>110756</v>
      </c>
      <c r="AA34" s="1">
        <v>1531762</v>
      </c>
      <c r="AB34">
        <f>COUNTIFS(Base!$C:$C,MAPPING!X34)</f>
        <v>1</v>
      </c>
    </row>
    <row r="35" spans="3:28" x14ac:dyDescent="0.35">
      <c r="C35" t="s">
        <v>428</v>
      </c>
      <c r="D35" t="s">
        <v>429</v>
      </c>
      <c r="F35" t="s">
        <v>428</v>
      </c>
      <c r="G35" t="s">
        <v>429</v>
      </c>
      <c r="K35" s="57" t="s">
        <v>634</v>
      </c>
      <c r="L35" s="57" t="s">
        <v>94</v>
      </c>
      <c r="M35" s="57" t="s">
        <v>821</v>
      </c>
      <c r="N35" t="s">
        <v>1287</v>
      </c>
      <c r="X35" t="str">
        <f>_xlfn.XLOOKUP(Y35,master!M:M,master!L:L)</f>
        <v>Rare_Rabbit_B2B</v>
      </c>
      <c r="Y35" t="s">
        <v>59</v>
      </c>
      <c r="Z35" s="1">
        <v>16112</v>
      </c>
      <c r="AA35" s="1">
        <v>447638</v>
      </c>
      <c r="AB35">
        <f>COUNTIFS(Base!$C:$C,MAPPING!X35)</f>
        <v>1</v>
      </c>
    </row>
    <row r="36" spans="3:28" x14ac:dyDescent="0.35">
      <c r="C36" t="s">
        <v>430</v>
      </c>
      <c r="D36" t="s">
        <v>431</v>
      </c>
      <c r="F36" t="s">
        <v>430</v>
      </c>
      <c r="G36" t="s">
        <v>431</v>
      </c>
      <c r="K36" s="57" t="s">
        <v>393</v>
      </c>
      <c r="L36" s="57" t="s">
        <v>43</v>
      </c>
      <c r="M36" s="57" t="s">
        <v>1061</v>
      </c>
      <c r="N36" t="s">
        <v>1407</v>
      </c>
      <c r="X36" t="str">
        <f>_xlfn.XLOOKUP(Y36,master!M:M,master!L:L)</f>
        <v>JAMBULOGIX_B2B</v>
      </c>
      <c r="Y36" t="s">
        <v>339</v>
      </c>
      <c r="Z36" s="1">
        <v>140818</v>
      </c>
      <c r="AA36" s="1">
        <v>1733732</v>
      </c>
      <c r="AB36">
        <f>COUNTIFS(Base!$C:$C,MAPPING!X36)</f>
        <v>1</v>
      </c>
    </row>
    <row r="37" spans="3:28" x14ac:dyDescent="0.35">
      <c r="C37" t="s">
        <v>432</v>
      </c>
      <c r="D37" t="s">
        <v>69</v>
      </c>
      <c r="F37" t="s">
        <v>432</v>
      </c>
      <c r="G37" t="s">
        <v>69</v>
      </c>
      <c r="K37" s="57" t="s">
        <v>650</v>
      </c>
      <c r="L37" s="57" t="s">
        <v>30</v>
      </c>
      <c r="M37" s="57" t="s">
        <v>822</v>
      </c>
      <c r="N37" t="s">
        <v>1300</v>
      </c>
      <c r="X37" t="str">
        <f>_xlfn.XLOOKUP(Y37,master!M:M,master!L:L)</f>
        <v>LITTLE_B2B</v>
      </c>
      <c r="Y37" t="s">
        <v>41</v>
      </c>
      <c r="Z37" s="1">
        <v>133837</v>
      </c>
      <c r="AA37" s="1">
        <v>1219787</v>
      </c>
      <c r="AB37">
        <f>COUNTIFS(Base!$C:$C,MAPPING!X37)</f>
        <v>1</v>
      </c>
    </row>
    <row r="38" spans="3:28" x14ac:dyDescent="0.35">
      <c r="C38" t="s">
        <v>433</v>
      </c>
      <c r="D38" t="s">
        <v>81</v>
      </c>
      <c r="F38" t="s">
        <v>433</v>
      </c>
      <c r="G38" t="s">
        <v>81</v>
      </c>
      <c r="K38" s="57" t="s">
        <v>683</v>
      </c>
      <c r="L38" s="57" t="s">
        <v>119</v>
      </c>
      <c r="M38" s="57" t="s">
        <v>815</v>
      </c>
      <c r="N38" t="s">
        <v>1300</v>
      </c>
      <c r="X38" t="str">
        <f>_xlfn.XLOOKUP(Y38,master!M:M,master!L:L)</f>
        <v>B_VISHAL_CORP_B2B</v>
      </c>
      <c r="Y38" t="s">
        <v>1342</v>
      </c>
      <c r="Z38" s="1">
        <v>16607</v>
      </c>
      <c r="AA38" s="1">
        <v>322589</v>
      </c>
      <c r="AB38">
        <f>COUNTIFS(Base!$C:$C,MAPPING!X38)</f>
        <v>1</v>
      </c>
    </row>
    <row r="39" spans="3:28" x14ac:dyDescent="0.35">
      <c r="C39" t="s">
        <v>434</v>
      </c>
      <c r="D39" t="s">
        <v>231</v>
      </c>
      <c r="F39" t="s">
        <v>434</v>
      </c>
      <c r="G39" t="s">
        <v>231</v>
      </c>
      <c r="K39" s="57" t="s">
        <v>910</v>
      </c>
      <c r="L39" s="57" t="s">
        <v>911</v>
      </c>
      <c r="M39" s="57" t="s">
        <v>976</v>
      </c>
      <c r="N39" t="s">
        <v>1301</v>
      </c>
      <c r="X39" t="str">
        <f>_xlfn.XLOOKUP(Y39,master!M:M,master!L:L)</f>
        <v>METRO_ECOM_B2B</v>
      </c>
      <c r="Y39" t="s">
        <v>27</v>
      </c>
      <c r="Z39" s="1">
        <v>47672</v>
      </c>
      <c r="AA39" s="1">
        <v>1484018</v>
      </c>
      <c r="AB39">
        <f>COUNTIFS(Base!$C:$C,MAPPING!X39)</f>
        <v>1</v>
      </c>
    </row>
    <row r="40" spans="3:28" x14ac:dyDescent="0.35">
      <c r="C40" t="s">
        <v>435</v>
      </c>
      <c r="D40" t="s">
        <v>56</v>
      </c>
      <c r="F40" t="s">
        <v>435</v>
      </c>
      <c r="G40" t="s">
        <v>56</v>
      </c>
      <c r="K40" s="57" t="s">
        <v>1004</v>
      </c>
      <c r="L40" s="57" t="s">
        <v>37</v>
      </c>
      <c r="M40" s="57" t="s">
        <v>1061</v>
      </c>
      <c r="N40" t="s">
        <v>1060</v>
      </c>
      <c r="X40" t="str">
        <f>_xlfn.XLOOKUP(Y40,master!M:M,master!L:L)</f>
        <v>GRACIOUS_LOGISTICS_B2B</v>
      </c>
      <c r="Y40" t="s">
        <v>72</v>
      </c>
      <c r="Z40" s="1">
        <v>100589</v>
      </c>
      <c r="AA40" s="1">
        <v>1225828</v>
      </c>
      <c r="AB40">
        <f>COUNTIFS(Base!$C:$C,MAPPING!X40)</f>
        <v>1</v>
      </c>
    </row>
    <row r="41" spans="3:28" x14ac:dyDescent="0.35">
      <c r="C41" t="s">
        <v>436</v>
      </c>
      <c r="D41" t="s">
        <v>8</v>
      </c>
      <c r="F41" t="s">
        <v>436</v>
      </c>
      <c r="G41" t="s">
        <v>8</v>
      </c>
      <c r="K41" s="57" t="s">
        <v>580</v>
      </c>
      <c r="L41" s="57" t="s">
        <v>19</v>
      </c>
      <c r="M41" s="57" t="s">
        <v>1225</v>
      </c>
      <c r="N41" t="s">
        <v>1287</v>
      </c>
      <c r="X41" t="str">
        <f>_xlfn.XLOOKUP(Y41,master!M:M,master!L:L)</f>
        <v>AFFINITY_B2B</v>
      </c>
      <c r="Y41" t="s">
        <v>80</v>
      </c>
      <c r="Z41" s="1">
        <v>79482</v>
      </c>
      <c r="AA41" s="1">
        <v>983707</v>
      </c>
      <c r="AB41">
        <f>COUNTIFS(Base!$C:$C,MAPPING!X41)</f>
        <v>1</v>
      </c>
    </row>
    <row r="42" spans="3:28" x14ac:dyDescent="0.35">
      <c r="C42" t="s">
        <v>437</v>
      </c>
      <c r="D42" t="s">
        <v>181</v>
      </c>
      <c r="F42" t="s">
        <v>437</v>
      </c>
      <c r="G42" t="s">
        <v>181</v>
      </c>
      <c r="K42" s="57" t="s">
        <v>653</v>
      </c>
      <c r="L42" s="57" t="s">
        <v>36</v>
      </c>
      <c r="M42" s="57" t="s">
        <v>819</v>
      </c>
      <c r="N42" t="s">
        <v>1062</v>
      </c>
      <c r="X42" t="str">
        <f>_xlfn.XLOOKUP(Y42,master!M:M,master!L:L)</f>
        <v>AdityaBirlaFashion_b2b</v>
      </c>
      <c r="Y42" t="s">
        <v>16</v>
      </c>
      <c r="Z42" s="1">
        <v>34648</v>
      </c>
      <c r="AA42" s="1">
        <v>690140</v>
      </c>
      <c r="AB42">
        <f>COUNTIFS(Base!$C:$C,MAPPING!X42)</f>
        <v>1</v>
      </c>
    </row>
    <row r="43" spans="3:28" x14ac:dyDescent="0.35">
      <c r="C43" t="s">
        <v>438</v>
      </c>
      <c r="D43" t="s">
        <v>256</v>
      </c>
      <c r="F43" t="s">
        <v>438</v>
      </c>
      <c r="G43" t="s">
        <v>256</v>
      </c>
      <c r="K43" s="57" t="s">
        <v>666</v>
      </c>
      <c r="L43" s="57" t="s">
        <v>79</v>
      </c>
      <c r="M43" s="57" t="s">
        <v>822</v>
      </c>
      <c r="N43" t="s">
        <v>1288</v>
      </c>
      <c r="X43" t="str">
        <f>_xlfn.XLOOKUP(Y43,master!M:M,master!L:L)</f>
        <v>Bigship_B2B</v>
      </c>
      <c r="Y43" t="s">
        <v>33</v>
      </c>
      <c r="Z43" s="1">
        <v>51410</v>
      </c>
      <c r="AA43" s="1">
        <v>644326</v>
      </c>
      <c r="AB43">
        <f>COUNTIFS(Base!$C:$C,MAPPING!X43)</f>
        <v>1</v>
      </c>
    </row>
    <row r="44" spans="3:28" x14ac:dyDescent="0.35">
      <c r="C44" t="s">
        <v>439</v>
      </c>
      <c r="D44" t="s">
        <v>46</v>
      </c>
      <c r="F44" t="s">
        <v>439</v>
      </c>
      <c r="G44" t="s">
        <v>46</v>
      </c>
      <c r="K44" s="57" t="s">
        <v>451</v>
      </c>
      <c r="L44" s="57" t="s">
        <v>85</v>
      </c>
      <c r="M44" s="57" t="s">
        <v>817</v>
      </c>
      <c r="N44" t="s">
        <v>1287</v>
      </c>
      <c r="X44" t="str">
        <f>_xlfn.XLOOKUP(Y44,master!M:M,master!L:L)</f>
        <v>JINDAL_B2B</v>
      </c>
      <c r="Y44" t="s">
        <v>1161</v>
      </c>
      <c r="Z44" s="1">
        <v>42986</v>
      </c>
      <c r="AA44" s="1">
        <v>814335</v>
      </c>
      <c r="AB44">
        <f>COUNTIFS(Base!$C:$C,MAPPING!X44)</f>
        <v>1</v>
      </c>
    </row>
    <row r="45" spans="3:28" x14ac:dyDescent="0.35">
      <c r="C45" t="s">
        <v>440</v>
      </c>
      <c r="D45" t="s">
        <v>88</v>
      </c>
      <c r="F45" t="s">
        <v>440</v>
      </c>
      <c r="G45" t="s">
        <v>88</v>
      </c>
      <c r="K45" s="57" t="s">
        <v>468</v>
      </c>
      <c r="L45" s="57" t="s">
        <v>54</v>
      </c>
      <c r="M45" s="57" t="s">
        <v>812</v>
      </c>
      <c r="N45" t="s">
        <v>1286</v>
      </c>
      <c r="X45" t="str">
        <f>_xlfn.XLOOKUP(Y45,[1]rpk!$B:$B,[1]rpk!$A:$A)</f>
        <v>METRO_RETAIL_B2B</v>
      </c>
      <c r="Y45" t="s">
        <v>1738</v>
      </c>
      <c r="Z45" s="1">
        <v>126179</v>
      </c>
      <c r="AA45" s="1">
        <v>1222905</v>
      </c>
      <c r="AB45">
        <f>COUNTIFS(Base!$C:$C,MAPPING!X45)</f>
        <v>1</v>
      </c>
    </row>
    <row r="46" spans="3:28" x14ac:dyDescent="0.35">
      <c r="C46" t="s">
        <v>441</v>
      </c>
      <c r="D46" t="s">
        <v>32</v>
      </c>
      <c r="F46" t="s">
        <v>441</v>
      </c>
      <c r="G46" t="s">
        <v>32</v>
      </c>
      <c r="K46" s="57" t="s">
        <v>442</v>
      </c>
      <c r="L46" s="57" t="s">
        <v>45</v>
      </c>
      <c r="M46" s="57" t="s">
        <v>817</v>
      </c>
      <c r="N46" t="s">
        <v>1292</v>
      </c>
      <c r="X46" t="str">
        <f>_xlfn.XLOOKUP(Y46,master!M:M,master!L:L)</f>
        <v>FAMOUS_ROADLINES_B2B</v>
      </c>
      <c r="Y46" t="s">
        <v>1168</v>
      </c>
      <c r="Z46" s="1">
        <v>29323</v>
      </c>
      <c r="AA46" s="1">
        <v>328481</v>
      </c>
      <c r="AB46">
        <f>COUNTIFS(Base!$C:$C,MAPPING!X46)</f>
        <v>1</v>
      </c>
    </row>
    <row r="47" spans="3:28" x14ac:dyDescent="0.35">
      <c r="C47" t="s">
        <v>442</v>
      </c>
      <c r="D47" t="s">
        <v>443</v>
      </c>
      <c r="F47" t="s">
        <v>442</v>
      </c>
      <c r="G47" t="s">
        <v>443</v>
      </c>
      <c r="K47" s="57" t="s">
        <v>614</v>
      </c>
      <c r="L47" s="57" t="s">
        <v>29</v>
      </c>
      <c r="M47" s="57" t="s">
        <v>1061</v>
      </c>
      <c r="N47" t="s">
        <v>1297</v>
      </c>
      <c r="X47" t="str">
        <f>_xlfn.XLOOKUP(Y47,master!M:M,master!L:L)</f>
        <v>RUPA_COMPANY_B2B</v>
      </c>
      <c r="Y47" t="s">
        <v>1160</v>
      </c>
      <c r="Z47" s="1">
        <v>89934</v>
      </c>
      <c r="AA47" s="1">
        <v>997852</v>
      </c>
      <c r="AB47">
        <f>COUNTIFS(Base!$C:$C,MAPPING!X47)</f>
        <v>1</v>
      </c>
    </row>
    <row r="48" spans="3:28" x14ac:dyDescent="0.35">
      <c r="C48" t="s">
        <v>444</v>
      </c>
      <c r="D48" t="s">
        <v>230</v>
      </c>
      <c r="F48" t="s">
        <v>444</v>
      </c>
      <c r="G48" t="s">
        <v>230</v>
      </c>
      <c r="K48" s="57" t="s">
        <v>994</v>
      </c>
      <c r="L48" s="57" t="s">
        <v>4</v>
      </c>
      <c r="M48" s="57" t="s">
        <v>1061</v>
      </c>
      <c r="N48" t="s">
        <v>1396</v>
      </c>
      <c r="X48" t="str">
        <f>_xlfn.XLOOKUP(Y48,master!M:M,master!L:L)</f>
        <v>MIDLINKERZ_B2B</v>
      </c>
      <c r="Y48" t="s">
        <v>54</v>
      </c>
      <c r="Z48" s="1">
        <v>45480</v>
      </c>
      <c r="AA48" s="1">
        <v>916431</v>
      </c>
      <c r="AB48">
        <f>COUNTIFS(Base!$C:$C,MAPPING!X48)</f>
        <v>1</v>
      </c>
    </row>
    <row r="49" spans="3:28" x14ac:dyDescent="0.35">
      <c r="C49" t="s">
        <v>445</v>
      </c>
      <c r="D49" t="s">
        <v>75</v>
      </c>
      <c r="F49" t="s">
        <v>445</v>
      </c>
      <c r="G49" t="s">
        <v>75</v>
      </c>
      <c r="K49" s="57" t="s">
        <v>744</v>
      </c>
      <c r="L49" s="57" t="s">
        <v>344</v>
      </c>
      <c r="M49" s="57" t="s">
        <v>976</v>
      </c>
      <c r="N49" t="s">
        <v>1294</v>
      </c>
      <c r="X49" t="str">
        <f>_xlfn.XLOOKUP(Y49,master!M:M,master!L:L)</f>
        <v>RASHI_PERIPHERALS_B2B</v>
      </c>
      <c r="Y49" t="s">
        <v>1370</v>
      </c>
      <c r="Z49" s="1">
        <v>37434</v>
      </c>
      <c r="AA49" s="1">
        <v>473403</v>
      </c>
      <c r="AB49">
        <f>COUNTIFS(Base!$C:$C,MAPPING!X49)</f>
        <v>1</v>
      </c>
    </row>
    <row r="50" spans="3:28" x14ac:dyDescent="0.35">
      <c r="C50" t="s">
        <v>446</v>
      </c>
      <c r="D50" t="s">
        <v>447</v>
      </c>
      <c r="F50" t="s">
        <v>446</v>
      </c>
      <c r="G50" t="s">
        <v>447</v>
      </c>
      <c r="K50" s="57" t="s">
        <v>645</v>
      </c>
      <c r="L50" s="57" t="s">
        <v>18</v>
      </c>
      <c r="M50" s="57" t="s">
        <v>810</v>
      </c>
      <c r="N50" t="s">
        <v>1289</v>
      </c>
      <c r="X50" t="str">
        <f>_xlfn.XLOOKUP(Y50,master!M:M,master!L:L)</f>
        <v>Bolasagro_B2B</v>
      </c>
      <c r="Y50" t="s">
        <v>44</v>
      </c>
      <c r="Z50" s="1">
        <v>65195</v>
      </c>
      <c r="AA50" s="1">
        <v>854305</v>
      </c>
      <c r="AB50">
        <f>COUNTIFS(Base!$C:$C,MAPPING!X50)</f>
        <v>1</v>
      </c>
    </row>
    <row r="51" spans="3:28" x14ac:dyDescent="0.35">
      <c r="C51" t="s">
        <v>448</v>
      </c>
      <c r="D51" t="s">
        <v>226</v>
      </c>
      <c r="F51" t="s">
        <v>448</v>
      </c>
      <c r="G51" t="s">
        <v>226</v>
      </c>
      <c r="K51" s="57" t="s">
        <v>397</v>
      </c>
      <c r="L51" s="57" t="s">
        <v>174</v>
      </c>
      <c r="M51" s="57" t="s">
        <v>1061</v>
      </c>
      <c r="N51" t="s">
        <v>1289</v>
      </c>
      <c r="X51" t="str">
        <f>_xlfn.XLOOKUP(Y51,master!M:M,master!L:L)</f>
        <v>Globate_360_B2B</v>
      </c>
      <c r="Y51" t="s">
        <v>45</v>
      </c>
      <c r="Z51" s="1">
        <v>7417</v>
      </c>
      <c r="AA51" s="1">
        <v>97958</v>
      </c>
      <c r="AB51">
        <f>COUNTIFS(Base!$C:$C,MAPPING!X51)</f>
        <v>1</v>
      </c>
    </row>
    <row r="52" spans="3:28" x14ac:dyDescent="0.35">
      <c r="C52" t="s">
        <v>449</v>
      </c>
      <c r="D52" t="s">
        <v>64</v>
      </c>
      <c r="F52" t="s">
        <v>449</v>
      </c>
      <c r="G52" t="s">
        <v>64</v>
      </c>
      <c r="K52" s="57" t="s">
        <v>602</v>
      </c>
      <c r="L52" s="57" t="s">
        <v>156</v>
      </c>
      <c r="M52" s="57" t="s">
        <v>825</v>
      </c>
      <c r="N52" t="s">
        <v>1323</v>
      </c>
      <c r="X52" t="str">
        <f>_xlfn.XLOOKUP(Y52,master!M:M,master!L:L)</f>
        <v>Indian_Terrain_B2B</v>
      </c>
      <c r="Y52" t="s">
        <v>181</v>
      </c>
      <c r="Z52" s="1">
        <v>62713</v>
      </c>
      <c r="AA52" s="1">
        <v>924968</v>
      </c>
      <c r="AB52">
        <f>COUNTIFS(Base!$C:$C,MAPPING!X52)</f>
        <v>1</v>
      </c>
    </row>
    <row r="53" spans="3:28" x14ac:dyDescent="0.35">
      <c r="C53" t="s">
        <v>450</v>
      </c>
      <c r="D53" t="s">
        <v>253</v>
      </c>
      <c r="F53" t="s">
        <v>450</v>
      </c>
      <c r="G53" t="s">
        <v>253</v>
      </c>
      <c r="K53" s="57" t="s">
        <v>651</v>
      </c>
      <c r="L53" s="57" t="s">
        <v>34</v>
      </c>
      <c r="M53" s="57" t="s">
        <v>822</v>
      </c>
      <c r="N53" t="s">
        <v>1294</v>
      </c>
      <c r="X53" t="str">
        <f>_xlfn.XLOOKUP(Y53,master!M:M,master!L:L)</f>
        <v>URBAN_STAR_6_B2B</v>
      </c>
      <c r="Y53" t="s">
        <v>955</v>
      </c>
      <c r="Z53" s="1">
        <v>14653</v>
      </c>
      <c r="AA53" s="1">
        <v>227377</v>
      </c>
      <c r="AB53">
        <f>COUNTIFS(Base!$C:$C,MAPPING!X53)</f>
        <v>1</v>
      </c>
    </row>
    <row r="54" spans="3:28" x14ac:dyDescent="0.35">
      <c r="C54" t="s">
        <v>451</v>
      </c>
      <c r="D54" t="s">
        <v>85</v>
      </c>
      <c r="F54" t="s">
        <v>451</v>
      </c>
      <c r="G54" t="s">
        <v>85</v>
      </c>
      <c r="K54" s="57" t="s">
        <v>756</v>
      </c>
      <c r="L54" s="57" t="s">
        <v>357</v>
      </c>
      <c r="M54" s="57" t="s">
        <v>837</v>
      </c>
      <c r="N54" t="s">
        <v>1302</v>
      </c>
      <c r="X54" t="str">
        <f>_xlfn.XLOOKUP(Y54,master!M:M,master!L:L)</f>
        <v>ZIVORE_B2B</v>
      </c>
      <c r="Y54" t="s">
        <v>255</v>
      </c>
      <c r="Z54" s="1">
        <v>58426</v>
      </c>
      <c r="AA54" s="1">
        <v>884880</v>
      </c>
      <c r="AB54">
        <f>COUNTIFS(Base!$C:$C,MAPPING!X54)</f>
        <v>1</v>
      </c>
    </row>
    <row r="55" spans="3:28" x14ac:dyDescent="0.35">
      <c r="C55" t="s">
        <v>452</v>
      </c>
      <c r="D55" t="s">
        <v>189</v>
      </c>
      <c r="F55" t="s">
        <v>452</v>
      </c>
      <c r="G55" t="s">
        <v>189</v>
      </c>
      <c r="K55" s="57" t="s">
        <v>410</v>
      </c>
      <c r="L55" s="57" t="s">
        <v>197</v>
      </c>
      <c r="M55" s="57" t="s">
        <v>1226</v>
      </c>
      <c r="N55" t="s">
        <v>1294</v>
      </c>
      <c r="X55" t="str">
        <f>_xlfn.XLOOKUP(Y55,master!M:M,master!L:L)</f>
        <v>ITHINK_LOGISTIC_B2B</v>
      </c>
      <c r="Y55" t="s">
        <v>156</v>
      </c>
      <c r="Z55" s="1">
        <v>7699</v>
      </c>
      <c r="AA55" s="1">
        <v>191994</v>
      </c>
      <c r="AB55">
        <f>COUNTIFS(Base!$C:$C,MAPPING!X55)</f>
        <v>1</v>
      </c>
    </row>
    <row r="56" spans="3:28" x14ac:dyDescent="0.35">
      <c r="C56" t="s">
        <v>453</v>
      </c>
      <c r="D56" t="s">
        <v>238</v>
      </c>
      <c r="F56" t="s">
        <v>453</v>
      </c>
      <c r="G56" t="s">
        <v>238</v>
      </c>
      <c r="K56" s="57" t="s">
        <v>964</v>
      </c>
      <c r="L56" s="57" t="s">
        <v>965</v>
      </c>
      <c r="M56" s="57" t="s">
        <v>976</v>
      </c>
      <c r="N56" t="s">
        <v>1297</v>
      </c>
      <c r="X56" t="str">
        <f>_xlfn.XLOOKUP(Y56,master!M:M,master!L:L)</f>
        <v>JRN_EXPRESS_B2B</v>
      </c>
      <c r="Y56" t="s">
        <v>1355</v>
      </c>
      <c r="Z56" s="1">
        <v>46711</v>
      </c>
      <c r="AA56" s="1">
        <v>413293</v>
      </c>
      <c r="AB56">
        <f>COUNTIFS(Base!$C:$C,MAPPING!X56)</f>
        <v>1</v>
      </c>
    </row>
    <row r="57" spans="3:28" x14ac:dyDescent="0.35">
      <c r="C57" t="s">
        <v>454</v>
      </c>
      <c r="D57" t="s">
        <v>91</v>
      </c>
      <c r="F57" t="s">
        <v>454</v>
      </c>
      <c r="G57" t="s">
        <v>91</v>
      </c>
      <c r="K57" s="57" t="s">
        <v>1006</v>
      </c>
      <c r="L57" s="57" t="s">
        <v>21</v>
      </c>
      <c r="M57" s="57" t="s">
        <v>1061</v>
      </c>
      <c r="N57" t="s">
        <v>1312</v>
      </c>
      <c r="X57" t="str">
        <f>_xlfn.XLOOKUP(Y57,master!M:M,master!L:L)</f>
        <v>AGILITAS_B2B</v>
      </c>
      <c r="Y57" t="s">
        <v>29</v>
      </c>
      <c r="Z57" s="1">
        <v>5357</v>
      </c>
      <c r="AA57" s="1">
        <v>250422</v>
      </c>
      <c r="AB57">
        <f>COUNTIFS(Base!$C:$C,MAPPING!X57)</f>
        <v>1</v>
      </c>
    </row>
    <row r="58" spans="3:28" x14ac:dyDescent="0.35">
      <c r="C58" t="s">
        <v>455</v>
      </c>
      <c r="D58" t="s">
        <v>58</v>
      </c>
      <c r="F58" t="s">
        <v>455</v>
      </c>
      <c r="G58" t="s">
        <v>58</v>
      </c>
      <c r="K58" s="57" t="s">
        <v>425</v>
      </c>
      <c r="L58" s="57" t="s">
        <v>39</v>
      </c>
      <c r="M58" s="57" t="s">
        <v>817</v>
      </c>
      <c r="N58" t="s">
        <v>1287</v>
      </c>
      <c r="X58" t="str">
        <f>_xlfn.XLOOKUP(Y58,master!M:M,master!L:L)</f>
        <v>Himalaya_FG_B2B</v>
      </c>
      <c r="Y58" t="s">
        <v>108</v>
      </c>
      <c r="Z58" s="1">
        <v>192029</v>
      </c>
      <c r="AA58" s="1">
        <v>1441608</v>
      </c>
      <c r="AB58">
        <f>COUNTIFS(Base!$C:$C,MAPPING!X58)</f>
        <v>1</v>
      </c>
    </row>
    <row r="59" spans="3:28" x14ac:dyDescent="0.35">
      <c r="C59" t="s">
        <v>456</v>
      </c>
      <c r="D59" t="s">
        <v>218</v>
      </c>
      <c r="F59" t="s">
        <v>456</v>
      </c>
      <c r="G59" t="s">
        <v>218</v>
      </c>
      <c r="K59" s="57" t="s">
        <v>665</v>
      </c>
      <c r="L59" s="57" t="s">
        <v>76</v>
      </c>
      <c r="M59" s="57" t="s">
        <v>822</v>
      </c>
      <c r="N59" t="s">
        <v>1287</v>
      </c>
      <c r="X59" t="str">
        <f>_xlfn.XLOOKUP(Y59,master!M:M,master!L:L)</f>
        <v>Sassafras_B2B</v>
      </c>
      <c r="Y59" t="s">
        <v>98</v>
      </c>
      <c r="Z59" s="1">
        <v>16215</v>
      </c>
      <c r="AA59" s="1">
        <v>313461</v>
      </c>
      <c r="AB59">
        <f>COUNTIFS(Base!$C:$C,MAPPING!X59)</f>
        <v>1</v>
      </c>
    </row>
    <row r="60" spans="3:28" x14ac:dyDescent="0.35">
      <c r="C60" t="s">
        <v>457</v>
      </c>
      <c r="D60" t="s">
        <v>251</v>
      </c>
      <c r="F60" t="s">
        <v>457</v>
      </c>
      <c r="G60" t="s">
        <v>251</v>
      </c>
      <c r="K60" s="57" t="s">
        <v>640</v>
      </c>
      <c r="L60" s="57" t="s">
        <v>50</v>
      </c>
      <c r="M60" s="57" t="s">
        <v>821</v>
      </c>
      <c r="N60" t="s">
        <v>1293</v>
      </c>
      <c r="X60" t="str">
        <f>_xlfn.XLOOKUP(Y60,master!M:M,master!L:L)</f>
        <v>Arvind Fashion_KG</v>
      </c>
      <c r="Y60" t="s">
        <v>214</v>
      </c>
      <c r="Z60" s="1">
        <v>48066</v>
      </c>
      <c r="AA60" s="1">
        <v>648042</v>
      </c>
      <c r="AB60">
        <f>COUNTIFS(Base!$C:$C,MAPPING!X60)</f>
        <v>0</v>
      </c>
    </row>
    <row r="61" spans="3:28" x14ac:dyDescent="0.35">
      <c r="C61" t="s">
        <v>458</v>
      </c>
      <c r="D61" t="s">
        <v>183</v>
      </c>
      <c r="F61" t="s">
        <v>458</v>
      </c>
      <c r="G61" t="s">
        <v>183</v>
      </c>
      <c r="K61" s="57" t="s">
        <v>592</v>
      </c>
      <c r="L61" s="57" t="s">
        <v>60</v>
      </c>
      <c r="M61" s="57" t="s">
        <v>1225</v>
      </c>
      <c r="N61" t="s">
        <v>1287</v>
      </c>
      <c r="X61" t="str">
        <f>_xlfn.XLOOKUP(Y61,master!M:M,master!L:L)</f>
        <v>KORES_INBOUND_B2B</v>
      </c>
      <c r="Y61" t="s">
        <v>76</v>
      </c>
      <c r="Z61" s="1">
        <v>72941</v>
      </c>
      <c r="AA61" s="1">
        <v>1035149</v>
      </c>
      <c r="AB61">
        <f>COUNTIFS(Base!$C:$C,MAPPING!X61)</f>
        <v>1</v>
      </c>
    </row>
    <row r="62" spans="3:28" x14ac:dyDescent="0.35">
      <c r="C62" t="s">
        <v>459</v>
      </c>
      <c r="D62" t="s">
        <v>246</v>
      </c>
      <c r="F62" t="s">
        <v>459</v>
      </c>
      <c r="G62" t="s">
        <v>246</v>
      </c>
      <c r="K62" s="57" t="s">
        <v>1114</v>
      </c>
      <c r="L62" s="57" t="s">
        <v>1154</v>
      </c>
      <c r="M62" s="57" t="s">
        <v>1219</v>
      </c>
      <c r="N62" t="s">
        <v>1297</v>
      </c>
      <c r="X62" t="str">
        <f>_xlfn.XLOOKUP(Y62,master!M:M,master!L:L)</f>
        <v>Imagine_Marketing_B2B</v>
      </c>
      <c r="Y62" t="s">
        <v>73</v>
      </c>
      <c r="Z62" s="1">
        <v>18235</v>
      </c>
      <c r="AA62" s="1">
        <v>317270</v>
      </c>
      <c r="AB62">
        <f>COUNTIFS(Base!$C:$C,MAPPING!X62)</f>
        <v>1</v>
      </c>
    </row>
    <row r="63" spans="3:28" x14ac:dyDescent="0.35">
      <c r="C63" t="s">
        <v>460</v>
      </c>
      <c r="D63" t="s">
        <v>185</v>
      </c>
      <c r="F63" t="s">
        <v>460</v>
      </c>
      <c r="G63" t="s">
        <v>185</v>
      </c>
      <c r="K63" s="57" t="s">
        <v>426</v>
      </c>
      <c r="L63" s="57" t="s">
        <v>160</v>
      </c>
      <c r="M63" s="57" t="s">
        <v>1061</v>
      </c>
      <c r="N63" t="s">
        <v>1295</v>
      </c>
      <c r="X63" t="str">
        <f>_xlfn.XLOOKUP(Y63,master!M:M,master!L:L)</f>
        <v>KARCHER_B2B</v>
      </c>
      <c r="Y63" t="s">
        <v>50</v>
      </c>
      <c r="Z63" s="1">
        <v>57473</v>
      </c>
      <c r="AA63" s="1">
        <v>849583</v>
      </c>
      <c r="AB63">
        <f>COUNTIFS(Base!$C:$C,MAPPING!X63)</f>
        <v>1</v>
      </c>
    </row>
    <row r="64" spans="3:28" x14ac:dyDescent="0.35">
      <c r="C64" t="s">
        <v>461</v>
      </c>
      <c r="D64" t="s">
        <v>264</v>
      </c>
      <c r="F64" t="s">
        <v>461</v>
      </c>
      <c r="G64" t="s">
        <v>264</v>
      </c>
      <c r="K64" s="57" t="s">
        <v>1122</v>
      </c>
      <c r="L64" s="57" t="s">
        <v>1155</v>
      </c>
      <c r="M64" s="57" t="s">
        <v>1219</v>
      </c>
      <c r="N64" t="s">
        <v>1300</v>
      </c>
      <c r="X64" t="str">
        <f>_xlfn.XLOOKUP(Y64,master!M:M,master!L:L)</f>
        <v>LOADNETIC_B2B</v>
      </c>
      <c r="Y64" t="s">
        <v>1199</v>
      </c>
      <c r="Z64" s="1">
        <v>15328</v>
      </c>
      <c r="AA64" s="1">
        <v>167251</v>
      </c>
      <c r="AB64">
        <f>COUNTIFS(Base!$C:$C,MAPPING!X64)</f>
        <v>1</v>
      </c>
    </row>
    <row r="65" spans="3:28" x14ac:dyDescent="0.35">
      <c r="C65" t="s">
        <v>436</v>
      </c>
      <c r="D65" t="s">
        <v>250</v>
      </c>
      <c r="F65" t="s">
        <v>436</v>
      </c>
      <c r="G65" t="s">
        <v>250</v>
      </c>
      <c r="K65" s="57" t="s">
        <v>940</v>
      </c>
      <c r="L65" s="57" t="s">
        <v>941</v>
      </c>
      <c r="M65" s="57" t="s">
        <v>837</v>
      </c>
      <c r="N65" t="s">
        <v>1288</v>
      </c>
      <c r="X65" t="str">
        <f>_xlfn.XLOOKUP(Y65,master!M:M,master!L:L)</f>
        <v>School_shop_B2B</v>
      </c>
      <c r="Y65" t="s">
        <v>5</v>
      </c>
      <c r="Z65" s="1">
        <v>39288</v>
      </c>
      <c r="AA65" s="1">
        <v>396030</v>
      </c>
      <c r="AB65">
        <f>COUNTIFS(Base!$C:$C,MAPPING!X65)</f>
        <v>1</v>
      </c>
    </row>
    <row r="66" spans="3:28" x14ac:dyDescent="0.35">
      <c r="C66" t="s">
        <v>462</v>
      </c>
      <c r="D66" t="s">
        <v>258</v>
      </c>
      <c r="F66" t="s">
        <v>462</v>
      </c>
      <c r="G66" t="s">
        <v>258</v>
      </c>
      <c r="K66" s="57" t="s">
        <v>441</v>
      </c>
      <c r="L66" s="57" t="s">
        <v>32</v>
      </c>
      <c r="M66" s="57" t="s">
        <v>817</v>
      </c>
      <c r="N66" t="s">
        <v>1469</v>
      </c>
      <c r="X66" t="str">
        <f>_xlfn.XLOOKUP(Y66,master!M:M,master!L:L)</f>
        <v>SIMK_LABELS_B2B</v>
      </c>
      <c r="Y66" t="s">
        <v>1378</v>
      </c>
      <c r="Z66" s="1">
        <v>19957</v>
      </c>
      <c r="AA66" s="1">
        <v>369785</v>
      </c>
      <c r="AB66">
        <f>COUNTIFS(Base!$C:$C,MAPPING!X66)</f>
        <v>1</v>
      </c>
    </row>
    <row r="67" spans="3:28" x14ac:dyDescent="0.35">
      <c r="C67" t="s">
        <v>463</v>
      </c>
      <c r="D67" t="s">
        <v>278</v>
      </c>
      <c r="F67" t="s">
        <v>463</v>
      </c>
      <c r="G67" t="s">
        <v>278</v>
      </c>
      <c r="K67" s="57" t="s">
        <v>763</v>
      </c>
      <c r="L67" s="57" t="s">
        <v>364</v>
      </c>
      <c r="M67" s="57" t="s">
        <v>837</v>
      </c>
      <c r="N67" t="s">
        <v>1283</v>
      </c>
      <c r="X67" t="str">
        <f>_xlfn.XLOOKUP(Y67,master!M:M,master!L:L)</f>
        <v>Icarry_B2B</v>
      </c>
      <c r="Y67" t="s">
        <v>46</v>
      </c>
      <c r="Z67" s="1">
        <v>16099</v>
      </c>
      <c r="AA67" s="1">
        <v>315657</v>
      </c>
      <c r="AB67">
        <f>COUNTIFS(Base!$C:$C,MAPPING!X67)</f>
        <v>1</v>
      </c>
    </row>
    <row r="68" spans="3:28" x14ac:dyDescent="0.35">
      <c r="C68" t="s">
        <v>464</v>
      </c>
      <c r="D68" t="s">
        <v>114</v>
      </c>
      <c r="F68" t="s">
        <v>464</v>
      </c>
      <c r="G68" t="s">
        <v>114</v>
      </c>
      <c r="K68" s="57" t="s">
        <v>863</v>
      </c>
      <c r="L68" s="57" t="s">
        <v>864</v>
      </c>
      <c r="M68" s="57" t="s">
        <v>976</v>
      </c>
      <c r="N68" t="s">
        <v>1297</v>
      </c>
      <c r="X68" t="str">
        <f>_xlfn.XLOOKUP(Y68,master!M:M,master!L:L)</f>
        <v>SHIPIT_EXPRESS_B2B</v>
      </c>
      <c r="Y68" t="s">
        <v>372</v>
      </c>
      <c r="Z68" s="1">
        <v>31324</v>
      </c>
      <c r="AA68" s="1">
        <v>354641</v>
      </c>
      <c r="AB68">
        <f>COUNTIFS(Base!$C:$C,MAPPING!X68)</f>
        <v>1</v>
      </c>
    </row>
    <row r="69" spans="3:28" x14ac:dyDescent="0.35">
      <c r="C69" t="s">
        <v>465</v>
      </c>
      <c r="D69" t="s">
        <v>219</v>
      </c>
      <c r="F69" t="s">
        <v>465</v>
      </c>
      <c r="G69" t="s">
        <v>219</v>
      </c>
      <c r="K69" s="57" t="s">
        <v>611</v>
      </c>
      <c r="L69" s="57" t="s">
        <v>108</v>
      </c>
      <c r="M69" s="57" t="s">
        <v>828</v>
      </c>
      <c r="N69" t="s">
        <v>1312</v>
      </c>
      <c r="X69" t="str">
        <f>_xlfn.XLOOKUP(Y69,master!M:M,master!L:L)</f>
        <v>ASIAN_RETAIL_B2B</v>
      </c>
      <c r="Y69" t="s">
        <v>872</v>
      </c>
      <c r="Z69" s="1">
        <v>103683</v>
      </c>
      <c r="AA69" s="1">
        <v>799930</v>
      </c>
      <c r="AB69">
        <f>COUNTIFS(Base!$C:$C,MAPPING!X69)</f>
        <v>1</v>
      </c>
    </row>
    <row r="70" spans="3:28" x14ac:dyDescent="0.35">
      <c r="C70" t="s">
        <v>466</v>
      </c>
      <c r="D70" t="s">
        <v>467</v>
      </c>
      <c r="F70" t="s">
        <v>466</v>
      </c>
      <c r="G70" t="s">
        <v>467</v>
      </c>
      <c r="K70" s="57" t="s">
        <v>616</v>
      </c>
      <c r="L70" s="57" t="s">
        <v>74</v>
      </c>
      <c r="M70" s="57" t="s">
        <v>828</v>
      </c>
      <c r="N70" t="s">
        <v>1303</v>
      </c>
      <c r="X70" t="str">
        <f>_xlfn.XLOOKUP(Y70,master!M:M,master!L:L)</f>
        <v>YASH_SEALS_B2B</v>
      </c>
      <c r="Y70" t="s">
        <v>39</v>
      </c>
      <c r="Z70" s="1">
        <v>43957</v>
      </c>
      <c r="AA70" s="1">
        <v>557394</v>
      </c>
      <c r="AB70">
        <f>COUNTIFS(Base!$C:$C,MAPPING!X70)</f>
        <v>1</v>
      </c>
    </row>
    <row r="71" spans="3:28" x14ac:dyDescent="0.35">
      <c r="C71" t="s">
        <v>468</v>
      </c>
      <c r="D71" t="s">
        <v>54</v>
      </c>
      <c r="F71" t="s">
        <v>468</v>
      </c>
      <c r="G71" t="s">
        <v>54</v>
      </c>
      <c r="K71" s="57" t="s">
        <v>489</v>
      </c>
      <c r="L71" s="57" t="s">
        <v>98</v>
      </c>
      <c r="M71" s="57" t="s">
        <v>1061</v>
      </c>
      <c r="N71" t="s">
        <v>1396</v>
      </c>
      <c r="X71" t="str">
        <f>_xlfn.XLOOKUP(Y71,master!M:M,master!L:L)</f>
        <v>HOLAPORT_Xhipment_B2B</v>
      </c>
      <c r="Y71" t="s">
        <v>81</v>
      </c>
      <c r="Z71" s="1">
        <v>29326</v>
      </c>
      <c r="AA71" s="1">
        <v>442474</v>
      </c>
      <c r="AB71">
        <f>COUNTIFS(Base!$C:$C,MAPPING!X71)</f>
        <v>1</v>
      </c>
    </row>
    <row r="72" spans="3:28" x14ac:dyDescent="0.35">
      <c r="C72" t="s">
        <v>469</v>
      </c>
      <c r="D72" t="s">
        <v>280</v>
      </c>
      <c r="F72" t="s">
        <v>469</v>
      </c>
      <c r="G72" t="s">
        <v>280</v>
      </c>
      <c r="K72" s="57" t="s">
        <v>871</v>
      </c>
      <c r="L72" s="57" t="s">
        <v>872</v>
      </c>
      <c r="M72" s="57" t="s">
        <v>1061</v>
      </c>
      <c r="N72" t="s">
        <v>1283</v>
      </c>
      <c r="X72" t="str">
        <f>_xlfn.XLOOKUP(Y72,master!M:M,master!L:L)</f>
        <v>HD_Enterprise_B2B</v>
      </c>
      <c r="Y72" t="s">
        <v>182</v>
      </c>
      <c r="Z72" s="1">
        <v>29823</v>
      </c>
      <c r="AA72" s="1">
        <v>358188</v>
      </c>
      <c r="AB72">
        <f>COUNTIFS(Base!$C:$C,MAPPING!X72)</f>
        <v>1</v>
      </c>
    </row>
    <row r="73" spans="3:28" x14ac:dyDescent="0.35">
      <c r="C73" t="s">
        <v>470</v>
      </c>
      <c r="D73" t="s">
        <v>48</v>
      </c>
      <c r="F73" t="s">
        <v>470</v>
      </c>
      <c r="G73" t="s">
        <v>48</v>
      </c>
      <c r="K73" s="57" t="s">
        <v>754</v>
      </c>
      <c r="L73" s="57" t="s">
        <v>355</v>
      </c>
      <c r="M73" s="57" t="s">
        <v>837</v>
      </c>
      <c r="N73" t="s">
        <v>1289</v>
      </c>
      <c r="X73" t="str">
        <f>_xlfn.XLOOKUP(Y73,master!M:M,master!L:L)</f>
        <v>HACHI_B2B</v>
      </c>
      <c r="Y73" t="s">
        <v>355</v>
      </c>
      <c r="Z73" s="1">
        <v>37134</v>
      </c>
      <c r="AA73" s="1">
        <v>522264</v>
      </c>
      <c r="AB73">
        <f>COUNTIFS(Base!$C:$C,MAPPING!X73)</f>
        <v>1</v>
      </c>
    </row>
    <row r="74" spans="3:28" x14ac:dyDescent="0.35">
      <c r="C74" t="s">
        <v>471</v>
      </c>
      <c r="D74" t="s">
        <v>96</v>
      </c>
      <c r="F74" t="s">
        <v>471</v>
      </c>
      <c r="G74" t="s">
        <v>96</v>
      </c>
      <c r="K74" s="57" t="s">
        <v>439</v>
      </c>
      <c r="L74" s="57" t="s">
        <v>46</v>
      </c>
      <c r="M74" s="57" t="s">
        <v>1061</v>
      </c>
      <c r="N74" t="s">
        <v>1396</v>
      </c>
      <c r="X74" t="str">
        <f>_xlfn.XLOOKUP(Y74,master!M:M,master!L:L)</f>
        <v>XEOM_B2B</v>
      </c>
      <c r="Y74" t="s">
        <v>963</v>
      </c>
      <c r="Z74" s="1">
        <v>38347</v>
      </c>
      <c r="AA74" s="1">
        <v>397672</v>
      </c>
      <c r="AB74">
        <f>COUNTIFS(Base!$C:$C,MAPPING!X74)</f>
        <v>1</v>
      </c>
    </row>
    <row r="75" spans="3:28" x14ac:dyDescent="0.35">
      <c r="C75" t="s">
        <v>472</v>
      </c>
      <c r="D75" t="s">
        <v>20</v>
      </c>
      <c r="F75" t="s">
        <v>472</v>
      </c>
      <c r="G75" t="s">
        <v>20</v>
      </c>
      <c r="K75" s="57" t="s">
        <v>432</v>
      </c>
      <c r="L75" s="57" t="s">
        <v>69</v>
      </c>
      <c r="M75" s="57" t="s">
        <v>1061</v>
      </c>
      <c r="N75" t="s">
        <v>1407</v>
      </c>
      <c r="X75" t="str">
        <f>_xlfn.XLOOKUP(Y75,master!M:M,master!L:L)</f>
        <v>OVERHAUL_B2B</v>
      </c>
      <c r="Y75" t="s">
        <v>143</v>
      </c>
      <c r="Z75" s="1">
        <v>20396</v>
      </c>
      <c r="AA75" s="1">
        <v>350522</v>
      </c>
      <c r="AB75">
        <f>COUNTIFS(Base!$C:$C,MAPPING!X75)</f>
        <v>1</v>
      </c>
    </row>
    <row r="76" spans="3:28" x14ac:dyDescent="0.35">
      <c r="C76" t="s">
        <v>473</v>
      </c>
      <c r="D76" t="s">
        <v>243</v>
      </c>
      <c r="F76" t="s">
        <v>473</v>
      </c>
      <c r="G76" t="s">
        <v>243</v>
      </c>
      <c r="K76" s="57" t="s">
        <v>1150</v>
      </c>
      <c r="L76" s="57" t="s">
        <v>955</v>
      </c>
      <c r="M76" s="57" t="s">
        <v>1061</v>
      </c>
      <c r="N76" t="s">
        <v>1332</v>
      </c>
      <c r="X76" t="str">
        <f>_xlfn.XLOOKUP(Y76,master!M:M,master!L:L)</f>
        <v>1MG_B2B</v>
      </c>
      <c r="Y76" t="s">
        <v>376</v>
      </c>
      <c r="Z76">
        <v>160</v>
      </c>
      <c r="AA76" s="1">
        <v>4806</v>
      </c>
      <c r="AB76">
        <f>COUNTIFS(Base!$C:$C,MAPPING!X76)</f>
        <v>1</v>
      </c>
    </row>
    <row r="77" spans="3:28" x14ac:dyDescent="0.35">
      <c r="C77" t="s">
        <v>474</v>
      </c>
      <c r="D77" t="s">
        <v>145</v>
      </c>
      <c r="F77" t="s">
        <v>474</v>
      </c>
      <c r="G77" t="s">
        <v>145</v>
      </c>
      <c r="K77" s="57" t="s">
        <v>446</v>
      </c>
      <c r="L77" s="57" t="s">
        <v>12</v>
      </c>
      <c r="M77" s="57" t="s">
        <v>1061</v>
      </c>
      <c r="N77" t="s">
        <v>1396</v>
      </c>
      <c r="X77" t="str">
        <f>_xlfn.XLOOKUP(Y77,master!M:M,master!L:L)</f>
        <v>STUFA_B2B</v>
      </c>
      <c r="Y77" t="s">
        <v>949</v>
      </c>
      <c r="Z77" s="1">
        <v>32755</v>
      </c>
      <c r="AA77" s="1">
        <v>358812</v>
      </c>
      <c r="AB77">
        <f>COUNTIFS(Base!$C:$C,MAPPING!X77)</f>
        <v>1</v>
      </c>
    </row>
    <row r="78" spans="3:28" x14ac:dyDescent="0.35">
      <c r="C78" t="s">
        <v>475</v>
      </c>
      <c r="D78" t="s">
        <v>235</v>
      </c>
      <c r="F78" t="s">
        <v>475</v>
      </c>
      <c r="G78" t="s">
        <v>235</v>
      </c>
      <c r="K78" s="57" t="s">
        <v>770</v>
      </c>
      <c r="L78" s="57" t="s">
        <v>372</v>
      </c>
      <c r="M78" s="57" t="s">
        <v>837</v>
      </c>
      <c r="N78" t="s">
        <v>1282</v>
      </c>
      <c r="X78" t="str">
        <f>_xlfn.XLOOKUP(Y78,master!M:M,master!L:L)</f>
        <v>VKC_B2B</v>
      </c>
      <c r="Y78" t="s">
        <v>30</v>
      </c>
      <c r="Z78" s="1">
        <v>24353</v>
      </c>
      <c r="AA78" s="1">
        <v>361150</v>
      </c>
      <c r="AB78">
        <f>COUNTIFS(Base!$C:$C,MAPPING!X78)</f>
        <v>1</v>
      </c>
    </row>
    <row r="79" spans="3:28" x14ac:dyDescent="0.35">
      <c r="C79" t="s">
        <v>476</v>
      </c>
      <c r="D79" t="s">
        <v>252</v>
      </c>
      <c r="F79" t="s">
        <v>476</v>
      </c>
      <c r="G79" t="s">
        <v>252</v>
      </c>
      <c r="K79" s="57" t="s">
        <v>1227</v>
      </c>
      <c r="L79" s="57" t="s">
        <v>352</v>
      </c>
      <c r="M79" s="57" t="s">
        <v>837</v>
      </c>
      <c r="N79" t="s">
        <v>1297</v>
      </c>
      <c r="X79" t="str">
        <f>_xlfn.XLOOKUP(Y79,master!M:M,master!L:L)</f>
        <v>TRANSLOGICS_SOLUTIONS_B2B</v>
      </c>
      <c r="Y79" t="s">
        <v>32</v>
      </c>
      <c r="Z79" s="1">
        <v>16602</v>
      </c>
      <c r="AA79" s="1">
        <v>277735</v>
      </c>
      <c r="AB79">
        <f>COUNTIFS(Base!$C:$C,MAPPING!X79)</f>
        <v>1</v>
      </c>
    </row>
    <row r="80" spans="3:28" x14ac:dyDescent="0.35">
      <c r="C80" t="s">
        <v>477</v>
      </c>
      <c r="D80" t="s">
        <v>203</v>
      </c>
      <c r="F80" t="s">
        <v>477</v>
      </c>
      <c r="G80" t="s">
        <v>203</v>
      </c>
      <c r="K80" s="57" t="s">
        <v>1106</v>
      </c>
      <c r="L80" s="57" t="s">
        <v>1156</v>
      </c>
      <c r="M80" s="57" t="s">
        <v>1219</v>
      </c>
      <c r="N80" t="s">
        <v>1283</v>
      </c>
      <c r="X80" t="str">
        <f>_xlfn.XLOOKUP(Y80,master!M:M,master!L:L)</f>
        <v>Bright_Lifecare_B2B</v>
      </c>
      <c r="Y80" t="s">
        <v>83</v>
      </c>
      <c r="Z80" s="1">
        <v>1773</v>
      </c>
      <c r="AA80" s="1">
        <v>45880</v>
      </c>
      <c r="AB80">
        <f>COUNTIFS(Base!$C:$C,MAPPING!X80)</f>
        <v>1</v>
      </c>
    </row>
    <row r="81" spans="3:28" x14ac:dyDescent="0.35">
      <c r="C81" t="s">
        <v>478</v>
      </c>
      <c r="D81" t="s">
        <v>229</v>
      </c>
      <c r="F81" t="s">
        <v>478</v>
      </c>
      <c r="G81" t="s">
        <v>229</v>
      </c>
      <c r="K81" s="57" t="s">
        <v>1079</v>
      </c>
      <c r="L81" s="57" t="s">
        <v>1157</v>
      </c>
      <c r="M81" s="57" t="s">
        <v>1061</v>
      </c>
      <c r="N81" t="s">
        <v>1283</v>
      </c>
      <c r="X81" t="str">
        <f>_xlfn.XLOOKUP(Y81,master!M:M,master!L:L)</f>
        <v>AJANTA_SHOES_B2B</v>
      </c>
      <c r="Y81" t="s">
        <v>1339</v>
      </c>
      <c r="Z81" s="1">
        <v>47545</v>
      </c>
      <c r="AA81" s="1">
        <v>594150</v>
      </c>
      <c r="AB81">
        <f>COUNTIFS(Base!$C:$C,MAPPING!X81)</f>
        <v>1</v>
      </c>
    </row>
    <row r="82" spans="3:28" x14ac:dyDescent="0.35">
      <c r="C82" t="s">
        <v>479</v>
      </c>
      <c r="D82" t="s">
        <v>24</v>
      </c>
      <c r="F82" t="s">
        <v>479</v>
      </c>
      <c r="G82" t="s">
        <v>24</v>
      </c>
      <c r="K82" s="57" t="s">
        <v>1003</v>
      </c>
      <c r="L82" s="57" t="s">
        <v>16</v>
      </c>
      <c r="M82" s="57" t="s">
        <v>1061</v>
      </c>
      <c r="N82" t="s">
        <v>1396</v>
      </c>
      <c r="X82" t="str">
        <f>_xlfn.XLOOKUP(Y82,[1]rpk!$B:$B,[1]rpk!$A:$A)</f>
        <v>SME_EXPRESS_B2B</v>
      </c>
      <c r="Y82" t="s">
        <v>1572</v>
      </c>
      <c r="Z82" s="1">
        <v>64967</v>
      </c>
      <c r="AA82" s="1">
        <v>737724</v>
      </c>
      <c r="AB82">
        <f>COUNTIFS(Base!$C:$C,MAPPING!X82)</f>
        <v>1</v>
      </c>
    </row>
    <row r="83" spans="3:28" x14ac:dyDescent="0.35">
      <c r="C83" t="s">
        <v>480</v>
      </c>
      <c r="D83" t="s">
        <v>255</v>
      </c>
      <c r="F83" t="s">
        <v>480</v>
      </c>
      <c r="G83" t="s">
        <v>255</v>
      </c>
      <c r="K83" s="57" t="s">
        <v>1086</v>
      </c>
      <c r="L83" s="57" t="s">
        <v>1158</v>
      </c>
      <c r="M83" s="57" t="s">
        <v>1219</v>
      </c>
      <c r="N83" t="s">
        <v>1300</v>
      </c>
      <c r="X83" t="str">
        <f>_xlfn.XLOOKUP(Y83,[1]rpk!$B:$B,[1]rpk!$A:$A)</f>
        <v>FMI_LTD_B2B</v>
      </c>
      <c r="Y83" t="s">
        <v>1739</v>
      </c>
      <c r="Z83" s="1">
        <v>118964</v>
      </c>
      <c r="AA83" s="1">
        <v>935853</v>
      </c>
      <c r="AB83">
        <f>COUNTIFS(Base!$C:$C,MAPPING!X83)</f>
        <v>1</v>
      </c>
    </row>
    <row r="84" spans="3:28" x14ac:dyDescent="0.35">
      <c r="C84" t="s">
        <v>481</v>
      </c>
      <c r="D84" t="s">
        <v>102</v>
      </c>
      <c r="F84" t="s">
        <v>481</v>
      </c>
      <c r="G84" t="s">
        <v>102</v>
      </c>
      <c r="K84" s="57" t="s">
        <v>695</v>
      </c>
      <c r="L84" s="57" t="s">
        <v>138</v>
      </c>
      <c r="M84" s="57" t="s">
        <v>822</v>
      </c>
      <c r="N84" t="s">
        <v>1288</v>
      </c>
      <c r="X84" t="str">
        <f>_xlfn.XLOOKUP(Y84,master!M:M,master!L:L)</f>
        <v>Griffen_Logistics_B2B</v>
      </c>
      <c r="Y84" t="s">
        <v>310</v>
      </c>
      <c r="Z84" s="1">
        <v>16283</v>
      </c>
      <c r="AA84" s="1">
        <v>294758</v>
      </c>
      <c r="AB84">
        <f>COUNTIFS(Base!$C:$C,MAPPING!X84)</f>
        <v>1</v>
      </c>
    </row>
    <row r="85" spans="3:28" x14ac:dyDescent="0.35">
      <c r="C85" t="s">
        <v>482</v>
      </c>
      <c r="D85" t="s">
        <v>287</v>
      </c>
      <c r="F85" t="s">
        <v>482</v>
      </c>
      <c r="G85" t="s">
        <v>287</v>
      </c>
      <c r="K85" s="57" t="s">
        <v>1094</v>
      </c>
      <c r="L85" s="57" t="s">
        <v>1159</v>
      </c>
      <c r="M85" s="57" t="s">
        <v>1219</v>
      </c>
      <c r="N85" t="s">
        <v>1302</v>
      </c>
      <c r="X85" t="str">
        <f>_xlfn.XLOOKUP(Y85,master!M:M,master!L:L)</f>
        <v>4TH_PHARMA_B2B</v>
      </c>
      <c r="Y85" t="s">
        <v>346</v>
      </c>
      <c r="Z85" s="1">
        <v>1230</v>
      </c>
      <c r="AA85" s="1">
        <v>76296</v>
      </c>
      <c r="AB85">
        <f>COUNTIFS(Base!$C:$C,MAPPING!X85)</f>
        <v>1</v>
      </c>
    </row>
    <row r="86" spans="3:28" x14ac:dyDescent="0.35">
      <c r="C86" t="s">
        <v>483</v>
      </c>
      <c r="D86" t="s">
        <v>107</v>
      </c>
      <c r="F86" t="s">
        <v>483</v>
      </c>
      <c r="G86" t="s">
        <v>107</v>
      </c>
      <c r="K86" s="57" t="s">
        <v>473</v>
      </c>
      <c r="L86" s="57" t="s">
        <v>55</v>
      </c>
      <c r="M86" s="57" t="s">
        <v>1061</v>
      </c>
      <c r="N86" t="s">
        <v>1062</v>
      </c>
      <c r="X86" t="str">
        <f>_xlfn.XLOOKUP(Y86,master!M:M,master!L:L)</f>
        <v>KIYAN_ENTERPRISES_B2B</v>
      </c>
      <c r="Y86" t="s">
        <v>1356</v>
      </c>
      <c r="Z86" s="1">
        <v>33628</v>
      </c>
      <c r="AA86" s="1">
        <v>369649</v>
      </c>
      <c r="AB86">
        <f>COUNTIFS(Base!$C:$C,MAPPING!X86)</f>
        <v>1</v>
      </c>
    </row>
    <row r="87" spans="3:28" x14ac:dyDescent="0.35">
      <c r="C87" t="s">
        <v>484</v>
      </c>
      <c r="D87" t="s">
        <v>179</v>
      </c>
      <c r="F87" t="s">
        <v>484</v>
      </c>
      <c r="G87" t="s">
        <v>179</v>
      </c>
      <c r="K87" s="57" t="s">
        <v>1001</v>
      </c>
      <c r="L87" s="57" t="s">
        <v>16</v>
      </c>
      <c r="M87" s="57" t="s">
        <v>1225</v>
      </c>
      <c r="N87" t="s">
        <v>1291</v>
      </c>
      <c r="X87" t="str">
        <f>_xlfn.XLOOKUP(Y87,[1]rpk!$B:$B,[1]rpk!$A:$A)</f>
        <v>SAYAJI_B2B</v>
      </c>
      <c r="Y87" t="s">
        <v>1567</v>
      </c>
      <c r="Z87" s="1">
        <v>1396</v>
      </c>
      <c r="AA87" s="1">
        <v>26868</v>
      </c>
      <c r="AB87">
        <f>COUNTIFS(Base!$C:$C,MAPPING!X87)</f>
        <v>1</v>
      </c>
    </row>
    <row r="88" spans="3:28" x14ac:dyDescent="0.35">
      <c r="C88" t="s">
        <v>485</v>
      </c>
      <c r="D88" t="s">
        <v>284</v>
      </c>
      <c r="F88" t="s">
        <v>485</v>
      </c>
      <c r="G88" t="s">
        <v>284</v>
      </c>
      <c r="K88" s="57" t="s">
        <v>936</v>
      </c>
      <c r="L88" s="57" t="s">
        <v>937</v>
      </c>
      <c r="M88" s="57" t="s">
        <v>976</v>
      </c>
      <c r="N88" t="s">
        <v>1289</v>
      </c>
      <c r="X88" t="str">
        <f>_xlfn.XLOOKUP(Y88,master!M:M,master!L:L)</f>
        <v>SUDHIR_AUTOMOTIVE_B2B</v>
      </c>
      <c r="Y88" t="s">
        <v>119</v>
      </c>
      <c r="Z88" s="1">
        <v>39665</v>
      </c>
      <c r="AA88" s="1">
        <v>358090</v>
      </c>
      <c r="AB88">
        <f>COUNTIFS(Base!$C:$C,MAPPING!X88)</f>
        <v>1</v>
      </c>
    </row>
    <row r="89" spans="3:28" x14ac:dyDescent="0.35">
      <c r="C89" t="s">
        <v>486</v>
      </c>
      <c r="D89" t="s">
        <v>282</v>
      </c>
      <c r="F89" t="s">
        <v>486</v>
      </c>
      <c r="G89" t="s">
        <v>282</v>
      </c>
      <c r="K89" s="57" t="s">
        <v>633</v>
      </c>
      <c r="L89" s="57" t="s">
        <v>84</v>
      </c>
      <c r="M89" s="57" t="s">
        <v>821</v>
      </c>
      <c r="N89" t="s">
        <v>1289</v>
      </c>
      <c r="X89" t="str">
        <f>_xlfn.XLOOKUP(Y89,master!M:M,master!L:L)</f>
        <v>MEDITREE_AMD_B2B</v>
      </c>
      <c r="Y89" t="s">
        <v>1359</v>
      </c>
      <c r="Z89" s="1">
        <v>4511</v>
      </c>
      <c r="AA89" s="1">
        <v>42942</v>
      </c>
      <c r="AB89">
        <f>COUNTIFS(Base!$C:$C,MAPPING!X89)</f>
        <v>1</v>
      </c>
    </row>
    <row r="90" spans="3:28" x14ac:dyDescent="0.35">
      <c r="C90" t="s">
        <v>487</v>
      </c>
      <c r="D90" t="s">
        <v>242</v>
      </c>
      <c r="F90" t="s">
        <v>487</v>
      </c>
      <c r="G90" t="s">
        <v>242</v>
      </c>
      <c r="K90" s="57" t="s">
        <v>774</v>
      </c>
      <c r="L90" s="57" t="s">
        <v>376</v>
      </c>
      <c r="M90" s="57" t="s">
        <v>837</v>
      </c>
      <c r="N90" t="s">
        <v>1289</v>
      </c>
      <c r="X90" t="str">
        <f>_xlfn.XLOOKUP(Y90,master!M:M,master!L:L)</f>
        <v>SNITCH_B2B</v>
      </c>
      <c r="Y90" t="s">
        <v>945</v>
      </c>
      <c r="Z90" s="1">
        <v>16471</v>
      </c>
      <c r="AA90" s="1">
        <v>247989</v>
      </c>
      <c r="AB90">
        <f>COUNTIFS(Base!$C:$C,MAPPING!X90)</f>
        <v>1</v>
      </c>
    </row>
    <row r="91" spans="3:28" x14ac:dyDescent="0.35">
      <c r="C91" t="s">
        <v>488</v>
      </c>
      <c r="D91" t="s">
        <v>306</v>
      </c>
      <c r="F91" t="s">
        <v>488</v>
      </c>
      <c r="G91" t="s">
        <v>306</v>
      </c>
      <c r="K91" s="57" t="s">
        <v>746</v>
      </c>
      <c r="L91" s="57" t="s">
        <v>347</v>
      </c>
      <c r="M91" s="57" t="s">
        <v>837</v>
      </c>
      <c r="N91" t="s">
        <v>1282</v>
      </c>
      <c r="X91" t="str">
        <f>_xlfn.XLOOKUP(Y91,master!M:M,master!L:L)</f>
        <v>ACEFOUR_ACCESSORIES_B2B</v>
      </c>
      <c r="Y91" t="s">
        <v>85</v>
      </c>
      <c r="Z91" s="1">
        <v>29499</v>
      </c>
      <c r="AA91" s="1">
        <v>238874</v>
      </c>
      <c r="AB91">
        <f>COUNTIFS(Base!$C:$C,MAPPING!X91)</f>
        <v>1</v>
      </c>
    </row>
    <row r="92" spans="3:28" x14ac:dyDescent="0.35">
      <c r="C92" t="s">
        <v>489</v>
      </c>
      <c r="D92" t="s">
        <v>98</v>
      </c>
      <c r="F92" t="s">
        <v>489</v>
      </c>
      <c r="G92" t="s">
        <v>98</v>
      </c>
      <c r="K92" s="57" t="s">
        <v>455</v>
      </c>
      <c r="L92" s="57" t="s">
        <v>58</v>
      </c>
      <c r="M92" s="57" t="s">
        <v>827</v>
      </c>
      <c r="N92" t="s">
        <v>1062</v>
      </c>
      <c r="X92" t="str">
        <f>_xlfn.XLOOKUP(Y92,master!M:M,master!L:L)</f>
        <v>XYXX_APPARELS_B2B</v>
      </c>
      <c r="Y92" t="s">
        <v>965</v>
      </c>
      <c r="Z92" s="1">
        <v>24048</v>
      </c>
      <c r="AA92" s="1">
        <v>394099</v>
      </c>
      <c r="AB92">
        <f>COUNTIFS(Base!$C:$C,MAPPING!X92)</f>
        <v>1</v>
      </c>
    </row>
    <row r="93" spans="3:28" x14ac:dyDescent="0.35">
      <c r="C93" t="s">
        <v>490</v>
      </c>
      <c r="D93" t="s">
        <v>279</v>
      </c>
      <c r="F93" t="s">
        <v>490</v>
      </c>
      <c r="G93" t="s">
        <v>279</v>
      </c>
      <c r="K93" s="57" t="s">
        <v>433</v>
      </c>
      <c r="L93" s="57" t="s">
        <v>81</v>
      </c>
      <c r="M93" s="57" t="s">
        <v>1061</v>
      </c>
      <c r="N93" t="s">
        <v>1297</v>
      </c>
      <c r="X93" t="str">
        <f>_xlfn.XLOOKUP(Y93,master!M:M,master!L:L)</f>
        <v>Prateek_B2B</v>
      </c>
      <c r="Y93" t="s">
        <v>367</v>
      </c>
      <c r="Z93" s="1">
        <v>8711</v>
      </c>
      <c r="AA93" s="1">
        <v>122586</v>
      </c>
      <c r="AB93">
        <f>COUNTIFS(Base!$C:$C,MAPPING!X93)</f>
        <v>1</v>
      </c>
    </row>
    <row r="94" spans="3:28" x14ac:dyDescent="0.35">
      <c r="C94" t="s">
        <v>491</v>
      </c>
      <c r="D94" t="s">
        <v>111</v>
      </c>
      <c r="F94" t="s">
        <v>491</v>
      </c>
      <c r="G94" t="s">
        <v>111</v>
      </c>
      <c r="K94" s="57" t="s">
        <v>1085</v>
      </c>
      <c r="L94" s="57" t="s">
        <v>1160</v>
      </c>
      <c r="M94" s="57" t="s">
        <v>1219</v>
      </c>
      <c r="N94" t="s">
        <v>1062</v>
      </c>
      <c r="X94" t="str">
        <f>_xlfn.XLOOKUP(Y94,master!M:M,master!L:L)</f>
        <v>SANKETHI_B2B</v>
      </c>
      <c r="Y94" t="s">
        <v>70</v>
      </c>
      <c r="Z94" s="1">
        <v>24101</v>
      </c>
      <c r="AA94" s="1">
        <v>351471</v>
      </c>
      <c r="AB94">
        <f>COUNTIFS(Base!$C:$C,MAPPING!X94)</f>
        <v>1</v>
      </c>
    </row>
    <row r="95" spans="3:28" x14ac:dyDescent="0.35">
      <c r="C95" t="s">
        <v>492</v>
      </c>
      <c r="D95" t="s">
        <v>288</v>
      </c>
      <c r="F95" t="s">
        <v>492</v>
      </c>
      <c r="G95" t="s">
        <v>288</v>
      </c>
      <c r="K95" s="57" t="s">
        <v>1141</v>
      </c>
      <c r="L95" s="57" t="s">
        <v>1161</v>
      </c>
      <c r="M95" s="57" t="s">
        <v>1219</v>
      </c>
      <c r="N95" t="s">
        <v>1315</v>
      </c>
      <c r="X95" t="str">
        <f>_xlfn.XLOOKUP(Y95,master!M:M,master!L:L)</f>
        <v>WOCKHARDT_B2B</v>
      </c>
      <c r="Y95" t="s">
        <v>15</v>
      </c>
      <c r="Z95" s="1">
        <v>30411</v>
      </c>
      <c r="AA95" s="1">
        <v>188277</v>
      </c>
      <c r="AB95">
        <f>COUNTIFS(Base!$C:$C,MAPPING!X95)</f>
        <v>1</v>
      </c>
    </row>
    <row r="96" spans="3:28" x14ac:dyDescent="0.35">
      <c r="C96" t="s">
        <v>493</v>
      </c>
      <c r="D96" t="s">
        <v>188</v>
      </c>
      <c r="F96" t="s">
        <v>493</v>
      </c>
      <c r="G96" t="s">
        <v>188</v>
      </c>
      <c r="K96" s="57" t="s">
        <v>1011</v>
      </c>
      <c r="L96" s="57" t="s">
        <v>96</v>
      </c>
      <c r="M96" s="57" t="s">
        <v>817</v>
      </c>
      <c r="N96" t="s">
        <v>1396</v>
      </c>
      <c r="X96" t="str">
        <f>_xlfn.XLOOKUP(Y96,master!M:M,master!L:L)</f>
        <v>QUANTICO_B2B</v>
      </c>
      <c r="Y96" t="s">
        <v>1368</v>
      </c>
      <c r="Z96" s="1">
        <v>19747</v>
      </c>
      <c r="AA96" s="1">
        <v>245079</v>
      </c>
      <c r="AB96">
        <f>COUNTIFS(Base!$C:$C,MAPPING!X96)</f>
        <v>1</v>
      </c>
    </row>
    <row r="97" spans="3:28" x14ac:dyDescent="0.35">
      <c r="C97" t="s">
        <v>494</v>
      </c>
      <c r="D97" t="s">
        <v>281</v>
      </c>
      <c r="F97" t="s">
        <v>494</v>
      </c>
      <c r="G97" t="s">
        <v>281</v>
      </c>
      <c r="K97" s="57" t="s">
        <v>479</v>
      </c>
      <c r="L97" s="57" t="s">
        <v>24</v>
      </c>
      <c r="M97" s="57" t="s">
        <v>1061</v>
      </c>
      <c r="N97" t="s">
        <v>1297</v>
      </c>
      <c r="X97" t="str">
        <f>_xlfn.XLOOKUP(Y97,master!M:M,master!L:L)</f>
        <v>PALEX_B2B</v>
      </c>
      <c r="Y97" t="s">
        <v>1367</v>
      </c>
      <c r="Z97" s="1">
        <v>12397</v>
      </c>
      <c r="AA97" s="1">
        <v>150787</v>
      </c>
      <c r="AB97">
        <f>COUNTIFS(Base!$C:$C,MAPPING!X97)</f>
        <v>1</v>
      </c>
    </row>
    <row r="98" spans="3:28" x14ac:dyDescent="0.35">
      <c r="C98" t="s">
        <v>495</v>
      </c>
      <c r="D98" t="s">
        <v>496</v>
      </c>
      <c r="F98" t="s">
        <v>495</v>
      </c>
      <c r="G98" t="s">
        <v>496</v>
      </c>
      <c r="K98" s="57" t="s">
        <v>1095</v>
      </c>
      <c r="L98" s="57" t="s">
        <v>1153</v>
      </c>
      <c r="M98" s="57" t="s">
        <v>1219</v>
      </c>
      <c r="N98" t="s">
        <v>1287</v>
      </c>
      <c r="X98" t="str">
        <f>_xlfn.XLOOKUP(Y98,master!M:M,master!L:L)</f>
        <v>CLASSIC_DISPLAY_B2B</v>
      </c>
      <c r="Y98" t="s">
        <v>350</v>
      </c>
      <c r="Z98" s="1">
        <v>1624</v>
      </c>
      <c r="AA98" s="1">
        <v>81227</v>
      </c>
      <c r="AB98">
        <f>COUNTIFS(Base!$C:$C,MAPPING!X98)</f>
        <v>1</v>
      </c>
    </row>
    <row r="99" spans="3:28" x14ac:dyDescent="0.35">
      <c r="C99" t="s">
        <v>497</v>
      </c>
      <c r="D99" t="s">
        <v>155</v>
      </c>
      <c r="F99" t="s">
        <v>497</v>
      </c>
      <c r="G99" t="s">
        <v>155</v>
      </c>
      <c r="K99" s="57" t="s">
        <v>584</v>
      </c>
      <c r="L99" s="57" t="s">
        <v>77</v>
      </c>
      <c r="M99" s="57" t="s">
        <v>1225</v>
      </c>
      <c r="N99" t="s">
        <v>1294</v>
      </c>
      <c r="X99" t="str">
        <f>_xlfn.XLOOKUP(Y99,master!M:M,master!L:L)</f>
        <v>KARMA_SILVERLIFE_B2B</v>
      </c>
      <c r="Y99" t="s">
        <v>911</v>
      </c>
      <c r="Z99" s="1">
        <v>46618</v>
      </c>
      <c r="AA99" s="1">
        <v>473577</v>
      </c>
      <c r="AB99">
        <f>COUNTIFS(Base!$C:$C,MAPPING!X99)</f>
        <v>1</v>
      </c>
    </row>
    <row r="100" spans="3:28" x14ac:dyDescent="0.35">
      <c r="C100" t="s">
        <v>498</v>
      </c>
      <c r="D100" t="s">
        <v>142</v>
      </c>
      <c r="F100" t="s">
        <v>498</v>
      </c>
      <c r="G100" t="s">
        <v>142</v>
      </c>
      <c r="K100" s="57" t="s">
        <v>1023</v>
      </c>
      <c r="L100" s="57" t="s">
        <v>16</v>
      </c>
      <c r="M100" s="57" t="s">
        <v>1221</v>
      </c>
      <c r="N100" t="s">
        <v>1396</v>
      </c>
      <c r="X100" t="str">
        <f>_xlfn.XLOOKUP(Y100,master!M:M,master!L:L)</f>
        <v>NURECA_LIMITED_B2B</v>
      </c>
      <c r="Y100" t="s">
        <v>1364</v>
      </c>
      <c r="Z100" s="1">
        <v>13317</v>
      </c>
      <c r="AA100" s="1">
        <v>264337</v>
      </c>
      <c r="AB100">
        <f>COUNTIFS(Base!$C:$C,MAPPING!X100)</f>
        <v>1</v>
      </c>
    </row>
    <row r="101" spans="3:28" x14ac:dyDescent="0.35">
      <c r="C101" t="s">
        <v>499</v>
      </c>
      <c r="D101" t="s">
        <v>247</v>
      </c>
      <c r="F101" t="s">
        <v>499</v>
      </c>
      <c r="G101" t="s">
        <v>247</v>
      </c>
      <c r="K101" s="57" t="s">
        <v>1008</v>
      </c>
      <c r="L101" s="57" t="s">
        <v>1228</v>
      </c>
      <c r="M101" s="57" t="s">
        <v>832</v>
      </c>
      <c r="N101" t="s">
        <v>1281</v>
      </c>
      <c r="X101" t="str">
        <f>_xlfn.XLOOKUP(Y101,[1]rpk!$B:$B,[1]rpk!$A:$A)</f>
        <v>CARGOSAVVY_B2B</v>
      </c>
      <c r="Y101" t="s">
        <v>1740</v>
      </c>
      <c r="Z101" s="1">
        <v>37667</v>
      </c>
      <c r="AA101" s="1">
        <v>479958</v>
      </c>
      <c r="AB101">
        <f>COUNTIFS(Base!$C:$C,MAPPING!X101)</f>
        <v>1</v>
      </c>
    </row>
    <row r="102" spans="3:28" x14ac:dyDescent="0.35">
      <c r="C102" t="s">
        <v>500</v>
      </c>
      <c r="D102" t="s">
        <v>99</v>
      </c>
      <c r="F102" t="s">
        <v>500</v>
      </c>
      <c r="G102" t="s">
        <v>99</v>
      </c>
      <c r="K102" s="57" t="s">
        <v>690</v>
      </c>
      <c r="L102" s="57" t="s">
        <v>131</v>
      </c>
      <c r="M102" s="57" t="s">
        <v>822</v>
      </c>
      <c r="N102" t="s">
        <v>1282</v>
      </c>
      <c r="X102" t="str">
        <f>_xlfn.XLOOKUP(Y102,master!M:M,master!L:L)</f>
        <v>REDTAPE_B2B</v>
      </c>
      <c r="Y102" t="s">
        <v>174</v>
      </c>
      <c r="Z102" s="1">
        <v>82205</v>
      </c>
      <c r="AA102" s="1">
        <v>1270466</v>
      </c>
      <c r="AB102">
        <f>COUNTIFS(Base!$C:$C,MAPPING!X102)</f>
        <v>1</v>
      </c>
    </row>
    <row r="103" spans="3:28" x14ac:dyDescent="0.35">
      <c r="C103" t="s">
        <v>501</v>
      </c>
      <c r="D103" t="s">
        <v>291</v>
      </c>
      <c r="F103" t="s">
        <v>501</v>
      </c>
      <c r="G103" t="s">
        <v>291</v>
      </c>
      <c r="K103" s="57" t="s">
        <v>948</v>
      </c>
      <c r="L103" s="57" t="s">
        <v>949</v>
      </c>
      <c r="M103" s="57" t="s">
        <v>976</v>
      </c>
      <c r="N103" t="s">
        <v>1300</v>
      </c>
      <c r="X103" t="str">
        <f>_xlfn.XLOOKUP(Y103,master!M:M,master!L:L)</f>
        <v>AANSWR_FASHION_B2B</v>
      </c>
      <c r="Y103" t="s">
        <v>864</v>
      </c>
      <c r="Z103" s="1">
        <v>31413</v>
      </c>
      <c r="AA103" s="1">
        <v>365839</v>
      </c>
      <c r="AB103">
        <f>COUNTIFS(Base!$C:$C,MAPPING!X103)</f>
        <v>1</v>
      </c>
    </row>
    <row r="104" spans="3:28" x14ac:dyDescent="0.35">
      <c r="C104" t="s">
        <v>502</v>
      </c>
      <c r="D104" t="s">
        <v>296</v>
      </c>
      <c r="F104" t="s">
        <v>502</v>
      </c>
      <c r="G104" t="s">
        <v>296</v>
      </c>
      <c r="K104" s="57" t="s">
        <v>658</v>
      </c>
      <c r="L104" s="57" t="s">
        <v>57</v>
      </c>
      <c r="M104" s="57" t="s">
        <v>822</v>
      </c>
      <c r="N104" t="s">
        <v>1293</v>
      </c>
      <c r="X104" t="str">
        <f>_xlfn.XLOOKUP(Y104,master!M:M,master!L:L)</f>
        <v>Campussutra_B2B</v>
      </c>
      <c r="Y104" t="s">
        <v>62</v>
      </c>
      <c r="Z104" s="1">
        <v>31762</v>
      </c>
      <c r="AA104" s="1">
        <v>467811</v>
      </c>
      <c r="AB104">
        <f>COUNTIFS(Base!$C:$C,MAPPING!X104)</f>
        <v>1</v>
      </c>
    </row>
    <row r="105" spans="3:28" x14ac:dyDescent="0.35">
      <c r="C105" t="s">
        <v>503</v>
      </c>
      <c r="D105" t="s">
        <v>150</v>
      </c>
      <c r="F105" t="s">
        <v>503</v>
      </c>
      <c r="G105" t="s">
        <v>150</v>
      </c>
      <c r="K105" s="57" t="s">
        <v>983</v>
      </c>
      <c r="L105" s="57" t="s">
        <v>1229</v>
      </c>
      <c r="M105" s="57" t="s">
        <v>1061</v>
      </c>
      <c r="N105" t="s">
        <v>1295</v>
      </c>
      <c r="X105" t="str">
        <f>_xlfn.XLOOKUP(Y105,master!M:M,master!L:L)</f>
        <v>ADL_International_B2B</v>
      </c>
      <c r="Y105" t="s">
        <v>58</v>
      </c>
      <c r="Z105" s="1">
        <v>18269</v>
      </c>
      <c r="AA105" s="1">
        <v>311786</v>
      </c>
      <c r="AB105">
        <f>COUNTIFS(Base!$C:$C,MAPPING!X105)</f>
        <v>1</v>
      </c>
    </row>
    <row r="106" spans="3:28" x14ac:dyDescent="0.35">
      <c r="C106" t="s">
        <v>504</v>
      </c>
      <c r="D106" t="s">
        <v>295</v>
      </c>
      <c r="F106" t="s">
        <v>504</v>
      </c>
      <c r="G106" t="s">
        <v>295</v>
      </c>
      <c r="K106" s="57" t="s">
        <v>875</v>
      </c>
      <c r="L106" s="57" t="s">
        <v>876</v>
      </c>
      <c r="M106" s="57" t="s">
        <v>976</v>
      </c>
      <c r="N106" t="s">
        <v>1332</v>
      </c>
      <c r="X106" t="str">
        <f>_xlfn.XLOOKUP(Y106,master!M:M,master!L:L)</f>
        <v>DABSTER_B2B</v>
      </c>
      <c r="Y106" t="s">
        <v>130</v>
      </c>
      <c r="Z106" s="1">
        <v>6828</v>
      </c>
      <c r="AA106" s="1">
        <v>87148</v>
      </c>
      <c r="AB106">
        <f>COUNTIFS(Base!$C:$C,MAPPING!X106)</f>
        <v>1</v>
      </c>
    </row>
    <row r="107" spans="3:28" x14ac:dyDescent="0.35">
      <c r="C107" t="s">
        <v>505</v>
      </c>
      <c r="D107" t="s">
        <v>301</v>
      </c>
      <c r="F107" t="s">
        <v>505</v>
      </c>
      <c r="G107" t="s">
        <v>301</v>
      </c>
      <c r="K107" s="57" t="s">
        <v>944</v>
      </c>
      <c r="L107" s="57" t="s">
        <v>945</v>
      </c>
      <c r="M107" s="57" t="s">
        <v>976</v>
      </c>
      <c r="N107" t="s">
        <v>1297</v>
      </c>
      <c r="X107" t="str">
        <f>_xlfn.XLOOKUP(Y107,master!M:M,master!L:L)</f>
        <v>EASTERN_COTTAGE_B2B</v>
      </c>
      <c r="Y107" t="s">
        <v>1177</v>
      </c>
      <c r="Z107" s="1">
        <v>18738</v>
      </c>
      <c r="AA107" s="1">
        <v>302987</v>
      </c>
      <c r="AB107">
        <f>COUNTIFS(Base!$C:$C,MAPPING!X107)</f>
        <v>1</v>
      </c>
    </row>
    <row r="108" spans="3:28" x14ac:dyDescent="0.35">
      <c r="C108" t="s">
        <v>506</v>
      </c>
      <c r="D108" t="s">
        <v>100</v>
      </c>
      <c r="F108" t="s">
        <v>506</v>
      </c>
      <c r="G108" t="s">
        <v>100</v>
      </c>
      <c r="K108" s="57" t="s">
        <v>764</v>
      </c>
      <c r="L108" s="57" t="s">
        <v>365</v>
      </c>
      <c r="M108" s="57" t="s">
        <v>1061</v>
      </c>
      <c r="N108" t="s">
        <v>1282</v>
      </c>
      <c r="X108" t="str">
        <f>_xlfn.XLOOKUP(Y108,master!M:M,master!L:L)</f>
        <v>ARVIND YOUTH_KG</v>
      </c>
      <c r="Y108" t="s">
        <v>222</v>
      </c>
      <c r="Z108" s="1">
        <v>21181</v>
      </c>
      <c r="AA108" s="1">
        <v>244765</v>
      </c>
      <c r="AB108">
        <f>COUNTIFS(Base!$C:$C,MAPPING!X108)</f>
        <v>0</v>
      </c>
    </row>
    <row r="109" spans="3:28" x14ac:dyDescent="0.35">
      <c r="C109" t="s">
        <v>507</v>
      </c>
      <c r="D109" t="s">
        <v>193</v>
      </c>
      <c r="F109" t="s">
        <v>507</v>
      </c>
      <c r="G109" t="s">
        <v>193</v>
      </c>
      <c r="K109" s="57" t="s">
        <v>652</v>
      </c>
      <c r="L109" s="57" t="s">
        <v>35</v>
      </c>
      <c r="M109" s="57" t="s">
        <v>822</v>
      </c>
      <c r="N109" t="s">
        <v>1289</v>
      </c>
      <c r="X109" t="str">
        <f>_xlfn.XLOOKUP(Y109,master!M:M,master!L:L)</f>
        <v>Romsons_Medsource_B2B</v>
      </c>
      <c r="Y109" t="s">
        <v>368</v>
      </c>
      <c r="Z109" s="1">
        <v>63144</v>
      </c>
      <c r="AA109" s="1">
        <v>208134</v>
      </c>
      <c r="AB109">
        <f>COUNTIFS(Base!$C:$C,MAPPING!X109)</f>
        <v>1</v>
      </c>
    </row>
    <row r="110" spans="3:28" x14ac:dyDescent="0.35">
      <c r="C110" t="s">
        <v>508</v>
      </c>
      <c r="D110" t="s">
        <v>317</v>
      </c>
      <c r="F110" t="s">
        <v>508</v>
      </c>
      <c r="G110" t="s">
        <v>317</v>
      </c>
      <c r="K110" s="57" t="s">
        <v>766</v>
      </c>
      <c r="L110" s="57" t="s">
        <v>367</v>
      </c>
      <c r="M110" s="57" t="s">
        <v>837</v>
      </c>
      <c r="N110" t="s">
        <v>1282</v>
      </c>
      <c r="X110" t="str">
        <f>_xlfn.XLOOKUP(Y110,master!M:M,master!L:L)</f>
        <v>DUKE_FASHIONS_B2B</v>
      </c>
      <c r="Y110" t="s">
        <v>74</v>
      </c>
      <c r="Z110" s="1">
        <v>45655</v>
      </c>
      <c r="AA110" s="1">
        <v>700051</v>
      </c>
      <c r="AB110">
        <f>COUNTIFS(Base!$C:$C,MAPPING!X110)</f>
        <v>1</v>
      </c>
    </row>
    <row r="111" spans="3:28" x14ac:dyDescent="0.35">
      <c r="C111" t="s">
        <v>509</v>
      </c>
      <c r="D111" t="s">
        <v>175</v>
      </c>
      <c r="F111" t="s">
        <v>509</v>
      </c>
      <c r="G111" t="s">
        <v>175</v>
      </c>
      <c r="K111" s="57" t="s">
        <v>1119</v>
      </c>
      <c r="L111" s="57" t="s">
        <v>1162</v>
      </c>
      <c r="M111" s="57" t="s">
        <v>1219</v>
      </c>
      <c r="N111" t="s">
        <v>1307</v>
      </c>
      <c r="X111" t="str">
        <f>_xlfn.XLOOKUP(Y111,master!M:M,master!L:L)</f>
        <v>GLEN_APPLIANCES_B2B</v>
      </c>
      <c r="Y111" t="s">
        <v>1351</v>
      </c>
      <c r="Z111" s="1">
        <v>37443</v>
      </c>
      <c r="AA111" s="1">
        <v>465620</v>
      </c>
      <c r="AB111">
        <f>COUNTIFS(Base!$C:$C,MAPPING!X111)</f>
        <v>1</v>
      </c>
    </row>
    <row r="112" spans="3:28" x14ac:dyDescent="0.35">
      <c r="C112" t="s">
        <v>510</v>
      </c>
      <c r="D112" t="s">
        <v>268</v>
      </c>
      <c r="F112" t="s">
        <v>510</v>
      </c>
      <c r="G112" t="s">
        <v>268</v>
      </c>
      <c r="K112" s="57" t="s">
        <v>986</v>
      </c>
      <c r="L112" s="57" t="s">
        <v>6</v>
      </c>
      <c r="M112" s="57" t="s">
        <v>811</v>
      </c>
      <c r="N112" t="s">
        <v>1062</v>
      </c>
      <c r="X112" t="str">
        <f>_xlfn.XLOOKUP(Y112,master!M:M,master!L:L)</f>
        <v>Lily_India_B2B</v>
      </c>
      <c r="Y112" t="s">
        <v>86</v>
      </c>
      <c r="Z112" s="1">
        <v>18345</v>
      </c>
      <c r="AA112" s="1">
        <v>165070</v>
      </c>
      <c r="AB112">
        <f>COUNTIFS(Base!$C:$C,MAPPING!X112)</f>
        <v>1</v>
      </c>
    </row>
    <row r="113" spans="3:28" x14ac:dyDescent="0.35">
      <c r="C113" t="s">
        <v>511</v>
      </c>
      <c r="D113" t="s">
        <v>232</v>
      </c>
      <c r="F113" t="s">
        <v>511</v>
      </c>
      <c r="G113" t="s">
        <v>232</v>
      </c>
      <c r="K113" s="57" t="s">
        <v>571</v>
      </c>
      <c r="L113" s="57" t="s">
        <v>1230</v>
      </c>
      <c r="M113" s="57" t="s">
        <v>1223</v>
      </c>
      <c r="N113" t="s">
        <v>1288</v>
      </c>
      <c r="X113" t="str">
        <f>_xlfn.XLOOKUP(Y113,master!M:M,master!L:L)</f>
        <v>ADITYA_ENTERPRISES_B2B</v>
      </c>
      <c r="Y113" t="s">
        <v>347</v>
      </c>
      <c r="Z113" s="1">
        <v>5007</v>
      </c>
      <c r="AA113" s="1">
        <v>68935</v>
      </c>
      <c r="AB113">
        <f>COUNTIFS(Base!$C:$C,MAPPING!X113)</f>
        <v>1</v>
      </c>
    </row>
    <row r="114" spans="3:28" x14ac:dyDescent="0.35">
      <c r="C114" t="s">
        <v>512</v>
      </c>
      <c r="D114" t="s">
        <v>325</v>
      </c>
      <c r="F114" t="s">
        <v>512</v>
      </c>
      <c r="G114" t="s">
        <v>325</v>
      </c>
      <c r="K114" s="57" t="s">
        <v>546</v>
      </c>
      <c r="L114" s="57" t="s">
        <v>118</v>
      </c>
      <c r="M114" s="57" t="s">
        <v>829</v>
      </c>
      <c r="N114" t="s">
        <v>1297</v>
      </c>
      <c r="X114" t="str">
        <f>_xlfn.XLOOKUP(Y114,master!M:M,master!L:L)</f>
        <v>Snapin_B2B</v>
      </c>
      <c r="Y114" t="s">
        <v>60</v>
      </c>
      <c r="Z114" s="1">
        <v>25072</v>
      </c>
      <c r="AA114" s="1">
        <v>371248</v>
      </c>
      <c r="AB114">
        <f>COUNTIFS(Base!$C:$C,MAPPING!X114)</f>
        <v>1</v>
      </c>
    </row>
    <row r="115" spans="3:28" x14ac:dyDescent="0.35">
      <c r="C115" t="s">
        <v>513</v>
      </c>
      <c r="D115" t="s">
        <v>327</v>
      </c>
      <c r="F115" t="s">
        <v>513</v>
      </c>
      <c r="G115" t="s">
        <v>327</v>
      </c>
      <c r="K115" s="57" t="s">
        <v>559</v>
      </c>
      <c r="L115" s="57" t="s">
        <v>40</v>
      </c>
      <c r="M115" s="57" t="s">
        <v>1223</v>
      </c>
      <c r="N115" t="s">
        <v>1294</v>
      </c>
      <c r="X115" t="str">
        <f>_xlfn.XLOOKUP(Y115,master!M:M,master!L:L)</f>
        <v>RASNA_INDIA_B2B</v>
      </c>
      <c r="Y115" t="s">
        <v>941</v>
      </c>
      <c r="Z115" s="1">
        <v>16860</v>
      </c>
      <c r="AA115" s="1">
        <v>167770</v>
      </c>
      <c r="AB115">
        <f>COUNTIFS(Base!$C:$C,MAPPING!X115)</f>
        <v>1</v>
      </c>
    </row>
    <row r="116" spans="3:28" x14ac:dyDescent="0.35">
      <c r="C116" t="s">
        <v>514</v>
      </c>
      <c r="D116" t="s">
        <v>324</v>
      </c>
      <c r="F116" t="s">
        <v>514</v>
      </c>
      <c r="G116" t="s">
        <v>324</v>
      </c>
      <c r="K116" s="57" t="s">
        <v>749</v>
      </c>
      <c r="L116" s="57" t="s">
        <v>350</v>
      </c>
      <c r="M116" s="57" t="s">
        <v>837</v>
      </c>
      <c r="N116" t="s">
        <v>1283</v>
      </c>
      <c r="X116" t="str">
        <f>_xlfn.XLOOKUP(Y116,[1]rpk!$B:$B,[1]rpk!$A:$A)</f>
        <v>SAFARI_B2B</v>
      </c>
      <c r="Y116" t="s">
        <v>1741</v>
      </c>
      <c r="Z116" s="1">
        <v>51036</v>
      </c>
      <c r="AA116" s="1">
        <v>251158</v>
      </c>
      <c r="AB116">
        <f>COUNTIFS(Base!$C:$C,MAPPING!X116)</f>
        <v>1</v>
      </c>
    </row>
    <row r="117" spans="3:28" x14ac:dyDescent="0.35">
      <c r="C117" t="s">
        <v>515</v>
      </c>
      <c r="D117" t="s">
        <v>321</v>
      </c>
      <c r="F117" t="s">
        <v>515</v>
      </c>
      <c r="G117" t="s">
        <v>321</v>
      </c>
      <c r="K117" s="57" t="s">
        <v>1137</v>
      </c>
      <c r="L117" s="57" t="s">
        <v>1163</v>
      </c>
      <c r="M117" s="57" t="s">
        <v>1219</v>
      </c>
      <c r="N117" t="s">
        <v>1296</v>
      </c>
      <c r="X117" t="str">
        <f>_xlfn.XLOOKUP(Y117,master!M:M,master!L:L)</f>
        <v>OM_SAI_ENTERPRISES_B2B</v>
      </c>
      <c r="Y117" t="s">
        <v>1366</v>
      </c>
      <c r="Z117" s="1">
        <v>13117</v>
      </c>
      <c r="AA117" s="1">
        <v>208908</v>
      </c>
      <c r="AB117">
        <f>COUNTIFS(Base!$C:$C,MAPPING!X117)</f>
        <v>1</v>
      </c>
    </row>
    <row r="118" spans="3:28" x14ac:dyDescent="0.35">
      <c r="C118" t="s">
        <v>516</v>
      </c>
      <c r="D118" t="s">
        <v>328</v>
      </c>
      <c r="F118" t="s">
        <v>516</v>
      </c>
      <c r="G118" t="s">
        <v>328</v>
      </c>
      <c r="K118" s="57" t="s">
        <v>565</v>
      </c>
      <c r="L118" s="57" t="s">
        <v>1231</v>
      </c>
      <c r="M118" s="57" t="s">
        <v>1225</v>
      </c>
      <c r="N118" t="s">
        <v>1312</v>
      </c>
      <c r="X118" t="str">
        <f>_xlfn.XLOOKUP(Y118,master!M:M,master!L:L)</f>
        <v>PRATYAYA_B2B</v>
      </c>
      <c r="Y118" t="s">
        <v>67</v>
      </c>
      <c r="Z118" s="1">
        <v>14929</v>
      </c>
      <c r="AA118" s="1">
        <v>214856</v>
      </c>
      <c r="AB118">
        <f>COUNTIFS(Base!$C:$C,MAPPING!X118)</f>
        <v>1</v>
      </c>
    </row>
    <row r="119" spans="3:28" x14ac:dyDescent="0.35">
      <c r="C119" t="s">
        <v>517</v>
      </c>
      <c r="D119" t="s">
        <v>236</v>
      </c>
      <c r="F119" t="s">
        <v>517</v>
      </c>
      <c r="G119" t="s">
        <v>236</v>
      </c>
      <c r="K119" s="57" t="s">
        <v>1232</v>
      </c>
      <c r="L119" s="57" t="s">
        <v>13</v>
      </c>
      <c r="M119" s="57" t="s">
        <v>1061</v>
      </c>
      <c r="N119" t="s">
        <v>1297</v>
      </c>
      <c r="X119" t="str">
        <f>_xlfn.XLOOKUP(Y119,master!M:M,master!L:L)</f>
        <v>VS_MANI_B2B</v>
      </c>
      <c r="Y119" t="s">
        <v>1387</v>
      </c>
      <c r="Z119" s="1">
        <v>31677</v>
      </c>
      <c r="AA119" s="1">
        <v>472422</v>
      </c>
      <c r="AB119">
        <f>COUNTIFS(Base!$C:$C,MAPPING!X119)</f>
        <v>1</v>
      </c>
    </row>
    <row r="120" spans="3:28" x14ac:dyDescent="0.35">
      <c r="C120" t="s">
        <v>518</v>
      </c>
      <c r="D120" t="s">
        <v>178</v>
      </c>
      <c r="F120" t="s">
        <v>518</v>
      </c>
      <c r="G120" t="s">
        <v>178</v>
      </c>
      <c r="K120" s="57" t="s">
        <v>400</v>
      </c>
      <c r="L120" s="57" t="s">
        <v>83</v>
      </c>
      <c r="M120" s="57" t="s">
        <v>1061</v>
      </c>
      <c r="N120" t="s">
        <v>1289</v>
      </c>
      <c r="X120" t="str">
        <f>_xlfn.XLOOKUP(Y120,master!M:M,master!L:L)</f>
        <v>SOUTHERN HEALTH_B2B</v>
      </c>
      <c r="Y120" t="s">
        <v>20</v>
      </c>
      <c r="Z120" s="1">
        <v>74641</v>
      </c>
      <c r="AA120" s="1">
        <v>1034801</v>
      </c>
      <c r="AB120">
        <f>COUNTIFS(Base!$C:$C,MAPPING!X120)</f>
        <v>1</v>
      </c>
    </row>
    <row r="121" spans="3:28" x14ac:dyDescent="0.35">
      <c r="C121" t="s">
        <v>519</v>
      </c>
      <c r="D121" t="s">
        <v>196</v>
      </c>
      <c r="F121" t="s">
        <v>519</v>
      </c>
      <c r="G121" t="s">
        <v>196</v>
      </c>
      <c r="K121" s="57" t="s">
        <v>685</v>
      </c>
      <c r="L121" s="57" t="s">
        <v>122</v>
      </c>
      <c r="M121" s="57" t="s">
        <v>1221</v>
      </c>
      <c r="N121" t="s">
        <v>1330</v>
      </c>
      <c r="X121" t="str">
        <f>_xlfn.XLOOKUP(Y121,master!M:M,master!L:L)</f>
        <v>LAZER_B2B</v>
      </c>
      <c r="Y121" t="s">
        <v>357</v>
      </c>
      <c r="Z121" s="1">
        <v>50333</v>
      </c>
      <c r="AA121" s="1">
        <v>499492</v>
      </c>
      <c r="AB121">
        <f>COUNTIFS(Base!$C:$C,MAPPING!X121)</f>
        <v>1</v>
      </c>
    </row>
    <row r="122" spans="3:28" x14ac:dyDescent="0.35">
      <c r="C122" t="s">
        <v>520</v>
      </c>
      <c r="D122" t="s">
        <v>90</v>
      </c>
      <c r="F122" t="s">
        <v>520</v>
      </c>
      <c r="G122" t="s">
        <v>90</v>
      </c>
      <c r="K122" s="57" t="s">
        <v>722</v>
      </c>
      <c r="L122" s="57" t="s">
        <v>269</v>
      </c>
      <c r="M122" s="57" t="s">
        <v>828</v>
      </c>
      <c r="N122" t="s">
        <v>1294</v>
      </c>
      <c r="X122" t="str">
        <f>_xlfn.XLOOKUP(Y122,master!M:M,master!L:L)</f>
        <v>LEEMBODI_FASHION_B2B</v>
      </c>
      <c r="Y122" t="s">
        <v>1358</v>
      </c>
      <c r="Z122" s="1">
        <v>8983</v>
      </c>
      <c r="AA122" s="1">
        <v>154844</v>
      </c>
      <c r="AB122">
        <f>COUNTIFS(Base!$C:$C,MAPPING!X122)</f>
        <v>1</v>
      </c>
    </row>
    <row r="123" spans="3:28" x14ac:dyDescent="0.35">
      <c r="C123" t="s">
        <v>521</v>
      </c>
      <c r="D123" t="s">
        <v>14</v>
      </c>
      <c r="F123" t="s">
        <v>521</v>
      </c>
      <c r="G123" t="s">
        <v>14</v>
      </c>
      <c r="K123" s="57" t="s">
        <v>388</v>
      </c>
      <c r="L123" s="57" t="s">
        <v>1233</v>
      </c>
      <c r="M123" s="57" t="s">
        <v>1061</v>
      </c>
      <c r="N123" t="s">
        <v>1407</v>
      </c>
      <c r="X123" t="str">
        <f>_xlfn.XLOOKUP(Y123,master!M:M,master!L:L)</f>
        <v>DHANASHREE_B2B</v>
      </c>
      <c r="Y123" t="s">
        <v>1346</v>
      </c>
      <c r="Z123" s="1">
        <v>38417</v>
      </c>
      <c r="AA123" s="1">
        <v>335543</v>
      </c>
      <c r="AB123">
        <f>COUNTIFS(Base!$C:$C,MAPPING!X123)</f>
        <v>1</v>
      </c>
    </row>
    <row r="124" spans="3:28" x14ac:dyDescent="0.35">
      <c r="C124" t="s">
        <v>522</v>
      </c>
      <c r="D124" t="s">
        <v>202</v>
      </c>
      <c r="F124" t="s">
        <v>522</v>
      </c>
      <c r="G124" t="s">
        <v>202</v>
      </c>
      <c r="K124" s="57" t="s">
        <v>1111</v>
      </c>
      <c r="L124" s="57" t="s">
        <v>1164</v>
      </c>
      <c r="M124" s="57" t="s">
        <v>1219</v>
      </c>
      <c r="N124" t="s">
        <v>1289</v>
      </c>
      <c r="X124" t="str">
        <f>_xlfn.XLOOKUP(Y124,master!M:M,master!L:L)</f>
        <v>MOXIE_B2B</v>
      </c>
      <c r="Y124" t="s">
        <v>1193</v>
      </c>
      <c r="Z124" s="1">
        <v>8893</v>
      </c>
      <c r="AA124" s="1">
        <v>120283</v>
      </c>
      <c r="AB124">
        <f>COUNTIFS(Base!$C:$C,MAPPING!X124)</f>
        <v>1</v>
      </c>
    </row>
    <row r="125" spans="3:28" x14ac:dyDescent="0.35">
      <c r="C125" t="s">
        <v>523</v>
      </c>
      <c r="D125" t="s">
        <v>290</v>
      </c>
      <c r="F125" t="s">
        <v>523</v>
      </c>
      <c r="G125" t="s">
        <v>290</v>
      </c>
      <c r="K125" s="57" t="s">
        <v>600</v>
      </c>
      <c r="L125" s="57" t="s">
        <v>182</v>
      </c>
      <c r="M125" s="57" t="s">
        <v>825</v>
      </c>
      <c r="N125" t="s">
        <v>1293</v>
      </c>
      <c r="X125" t="str">
        <f>_xlfn.XLOOKUP(Y125,master!M:M,master!L:L)</f>
        <v>ASIAN_FOOTWEARS_B2B</v>
      </c>
      <c r="Y125" t="s">
        <v>1157</v>
      </c>
      <c r="Z125" s="1">
        <v>10897</v>
      </c>
      <c r="AA125" s="1">
        <v>96737</v>
      </c>
      <c r="AB125">
        <f>COUNTIFS(Base!$C:$C,MAPPING!X125)</f>
        <v>1</v>
      </c>
    </row>
    <row r="126" spans="3:28" x14ac:dyDescent="0.35">
      <c r="C126" t="s">
        <v>524</v>
      </c>
      <c r="D126" t="s">
        <v>158</v>
      </c>
      <c r="F126" t="s">
        <v>524</v>
      </c>
      <c r="G126" t="s">
        <v>158</v>
      </c>
      <c r="K126" s="57" t="s">
        <v>662</v>
      </c>
      <c r="L126" s="57" t="s">
        <v>67</v>
      </c>
      <c r="M126" s="57" t="s">
        <v>819</v>
      </c>
      <c r="N126" t="s">
        <v>1289</v>
      </c>
      <c r="X126" t="str">
        <f>_xlfn.XLOOKUP(Y126,master!M:M,master!L:L)</f>
        <v>TIBREWALA_B2B</v>
      </c>
      <c r="Y126" t="s">
        <v>1382</v>
      </c>
      <c r="Z126">
        <v>760</v>
      </c>
      <c r="AA126" s="1">
        <v>8211</v>
      </c>
      <c r="AB126">
        <f>COUNTIFS(Base!$C:$C,MAPPING!X126)</f>
        <v>1</v>
      </c>
    </row>
    <row r="127" spans="3:28" x14ac:dyDescent="0.35">
      <c r="C127" t="s">
        <v>525</v>
      </c>
      <c r="D127" t="s">
        <v>294</v>
      </c>
      <c r="F127" t="s">
        <v>525</v>
      </c>
      <c r="G127" t="s">
        <v>294</v>
      </c>
      <c r="K127" s="57" t="s">
        <v>1117</v>
      </c>
      <c r="L127" s="57" t="s">
        <v>1165</v>
      </c>
      <c r="M127" s="57" t="s">
        <v>1219</v>
      </c>
      <c r="N127" t="s">
        <v>1316</v>
      </c>
      <c r="X127" t="str">
        <f>_xlfn.XLOOKUP(Y127,master!M:M,master!L:L)</f>
        <v>Street Nine_b2b</v>
      </c>
      <c r="Y127" t="s">
        <v>64</v>
      </c>
      <c r="Z127" s="1">
        <v>19913</v>
      </c>
      <c r="AA127" s="1">
        <v>202390</v>
      </c>
      <c r="AB127">
        <f>COUNTIFS(Base!$C:$C,MAPPING!X127)</f>
        <v>1</v>
      </c>
    </row>
    <row r="128" spans="3:28" x14ac:dyDescent="0.35">
      <c r="C128" t="s">
        <v>526</v>
      </c>
      <c r="D128" t="s">
        <v>234</v>
      </c>
      <c r="F128" t="s">
        <v>526</v>
      </c>
      <c r="G128" t="s">
        <v>234</v>
      </c>
      <c r="K128" s="57" t="s">
        <v>767</v>
      </c>
      <c r="L128" s="57" t="s">
        <v>368</v>
      </c>
      <c r="M128" s="57" t="s">
        <v>1061</v>
      </c>
      <c r="N128" t="s">
        <v>1062</v>
      </c>
      <c r="X128" t="str">
        <f>_xlfn.XLOOKUP(Y128,master!M:M,master!L:L)</f>
        <v>SANWARIYA_B2B</v>
      </c>
      <c r="Y128" t="s">
        <v>1186</v>
      </c>
      <c r="Z128" s="1">
        <v>3069</v>
      </c>
      <c r="AA128" s="1">
        <v>33047</v>
      </c>
      <c r="AB128">
        <f>COUNTIFS(Base!$C:$C,MAPPING!X128)</f>
        <v>1</v>
      </c>
    </row>
    <row r="129" spans="3:28" x14ac:dyDescent="0.35">
      <c r="C129" t="s">
        <v>527</v>
      </c>
      <c r="D129" t="s">
        <v>283</v>
      </c>
      <c r="F129" t="s">
        <v>527</v>
      </c>
      <c r="G129" t="s">
        <v>283</v>
      </c>
      <c r="K129" s="57" t="s">
        <v>711</v>
      </c>
      <c r="L129" s="57" t="s">
        <v>192</v>
      </c>
      <c r="M129" s="57" t="s">
        <v>822</v>
      </c>
      <c r="N129" t="s">
        <v>1288</v>
      </c>
      <c r="X129" t="str">
        <f>_xlfn.XLOOKUP(Y129,master!M:M,master!L:L)</f>
        <v>PEPING_B2B</v>
      </c>
      <c r="Y129" t="s">
        <v>136</v>
      </c>
      <c r="Z129" s="1">
        <v>8251</v>
      </c>
      <c r="AA129" s="1">
        <v>93807</v>
      </c>
      <c r="AB129">
        <f>COUNTIFS(Base!$C:$C,MAPPING!X129)</f>
        <v>1</v>
      </c>
    </row>
    <row r="130" spans="3:28" x14ac:dyDescent="0.35">
      <c r="C130" t="s">
        <v>528</v>
      </c>
      <c r="D130" t="s">
        <v>136</v>
      </c>
      <c r="F130" t="s">
        <v>528</v>
      </c>
      <c r="G130" t="s">
        <v>136</v>
      </c>
      <c r="K130" s="57" t="s">
        <v>586</v>
      </c>
      <c r="L130" s="57" t="s">
        <v>86</v>
      </c>
      <c r="M130" s="57" t="s">
        <v>1225</v>
      </c>
      <c r="N130" t="s">
        <v>1062</v>
      </c>
      <c r="X130" t="str">
        <f>_xlfn.XLOOKUP(Y130,master!M:M,master!L:L)</f>
        <v>Damensch_B2B</v>
      </c>
      <c r="Y130" t="s">
        <v>69</v>
      </c>
      <c r="Z130" s="1">
        <v>8548</v>
      </c>
      <c r="AA130" s="1">
        <v>170690</v>
      </c>
      <c r="AB130">
        <f>COUNTIFS(Base!$C:$C,MAPPING!X130)</f>
        <v>1</v>
      </c>
    </row>
    <row r="131" spans="3:28" x14ac:dyDescent="0.35">
      <c r="C131" t="s">
        <v>529</v>
      </c>
      <c r="D131" t="s">
        <v>314</v>
      </c>
      <c r="F131" t="s">
        <v>529</v>
      </c>
      <c r="G131" t="s">
        <v>314</v>
      </c>
      <c r="K131" s="57" t="s">
        <v>631</v>
      </c>
      <c r="L131" s="57" t="s">
        <v>70</v>
      </c>
      <c r="M131" s="57" t="s">
        <v>821</v>
      </c>
      <c r="N131" t="s">
        <v>1297</v>
      </c>
      <c r="X131" t="str">
        <f>_xlfn.XLOOKUP(Y131,master!M:M,master!L:L)</f>
        <v>RAMRAJ_B2B</v>
      </c>
      <c r="Y131" t="s">
        <v>381</v>
      </c>
      <c r="Z131" s="1">
        <v>20793</v>
      </c>
      <c r="AA131" s="1">
        <v>295579</v>
      </c>
      <c r="AB131">
        <f>COUNTIFS(Base!$C:$C,MAPPING!X131)</f>
        <v>1</v>
      </c>
    </row>
    <row r="132" spans="3:28" x14ac:dyDescent="0.35">
      <c r="C132" t="s">
        <v>530</v>
      </c>
      <c r="D132" t="s">
        <v>186</v>
      </c>
      <c r="F132" t="s">
        <v>530</v>
      </c>
      <c r="G132" t="s">
        <v>186</v>
      </c>
      <c r="K132" s="57" t="s">
        <v>1234</v>
      </c>
      <c r="L132" s="57" t="s">
        <v>61</v>
      </c>
      <c r="M132" s="57" t="s">
        <v>810</v>
      </c>
      <c r="N132" t="s">
        <v>1287</v>
      </c>
      <c r="X132" t="str">
        <f>_xlfn.XLOOKUP(Y132,master!M:M,master!L:L)</f>
        <v>SUTTON_B2B</v>
      </c>
      <c r="Y132" t="s">
        <v>1181</v>
      </c>
      <c r="Z132" s="1">
        <v>13467</v>
      </c>
      <c r="AA132" s="1">
        <v>185749</v>
      </c>
      <c r="AB132">
        <f>COUNTIFS(Base!$C:$C,MAPPING!X132)</f>
        <v>1</v>
      </c>
    </row>
    <row r="133" spans="3:28" x14ac:dyDescent="0.35">
      <c r="C133" t="s">
        <v>531</v>
      </c>
      <c r="D133" t="s">
        <v>187</v>
      </c>
      <c r="F133" t="s">
        <v>531</v>
      </c>
      <c r="G133" t="s">
        <v>187</v>
      </c>
      <c r="K133" s="57" t="s">
        <v>1121</v>
      </c>
      <c r="L133" s="57" t="s">
        <v>1166</v>
      </c>
      <c r="M133" s="57" t="s">
        <v>1235</v>
      </c>
      <c r="N133" t="s">
        <v>1289</v>
      </c>
      <c r="X133" t="str">
        <f>_xlfn.XLOOKUP(Y133,master!M:M,master!L:L)</f>
        <v>BROEKMAN_B2B</v>
      </c>
      <c r="Y133" t="s">
        <v>1192</v>
      </c>
      <c r="Z133" s="1">
        <v>13976</v>
      </c>
      <c r="AA133" s="1">
        <v>122669</v>
      </c>
      <c r="AB133">
        <f>COUNTIFS(Base!$C:$C,MAPPING!X133)</f>
        <v>1</v>
      </c>
    </row>
    <row r="134" spans="3:28" x14ac:dyDescent="0.35">
      <c r="C134" t="s">
        <v>532</v>
      </c>
      <c r="D134" t="s">
        <v>199</v>
      </c>
      <c r="F134" t="s">
        <v>532</v>
      </c>
      <c r="G134" t="s">
        <v>199</v>
      </c>
      <c r="K134" s="57" t="s">
        <v>613</v>
      </c>
      <c r="L134" s="57" t="s">
        <v>66</v>
      </c>
      <c r="M134" s="57" t="s">
        <v>828</v>
      </c>
      <c r="N134" t="s">
        <v>1294</v>
      </c>
      <c r="X134" t="str">
        <f>_xlfn.XLOOKUP(Y134,[1]rpk!$B:$B,[1]rpk!$A:$A)</f>
        <v>MARS_COSMETICS_B2B</v>
      </c>
      <c r="Y134" t="s">
        <v>1437</v>
      </c>
      <c r="Z134" s="1">
        <v>7831</v>
      </c>
      <c r="AA134" s="1">
        <v>165236</v>
      </c>
      <c r="AB134">
        <f>COUNTIFS(Base!$C:$C,MAPPING!X134)</f>
        <v>1</v>
      </c>
    </row>
    <row r="135" spans="3:28" x14ac:dyDescent="0.35">
      <c r="C135" t="s">
        <v>533</v>
      </c>
      <c r="D135" t="s">
        <v>309</v>
      </c>
      <c r="F135" t="s">
        <v>533</v>
      </c>
      <c r="G135" t="s">
        <v>309</v>
      </c>
      <c r="K135" s="57" t="s">
        <v>407</v>
      </c>
      <c r="L135" s="57" t="s">
        <v>95</v>
      </c>
      <c r="M135" s="57" t="s">
        <v>1061</v>
      </c>
      <c r="N135" t="s">
        <v>1297</v>
      </c>
      <c r="X135" t="str">
        <f>_xlfn.XLOOKUP(Y135,master!M:M,master!L:L)</f>
        <v>AMLANI_B2B</v>
      </c>
      <c r="Y135" t="s">
        <v>201</v>
      </c>
      <c r="Z135" s="1">
        <v>15655</v>
      </c>
      <c r="AA135" s="1">
        <v>222355</v>
      </c>
      <c r="AB135">
        <f>COUNTIFS(Base!$C:$C,MAPPING!X135)</f>
        <v>1</v>
      </c>
    </row>
    <row r="136" spans="3:28" x14ac:dyDescent="0.35">
      <c r="C136" t="s">
        <v>534</v>
      </c>
      <c r="D136" t="s">
        <v>323</v>
      </c>
      <c r="F136" t="s">
        <v>534</v>
      </c>
      <c r="G136" t="s">
        <v>323</v>
      </c>
      <c r="K136" s="57" t="s">
        <v>982</v>
      </c>
      <c r="L136" s="57" t="s">
        <v>1236</v>
      </c>
      <c r="M136" s="57" t="s">
        <v>1061</v>
      </c>
      <c r="N136" t="s">
        <v>1295</v>
      </c>
      <c r="X136" t="str">
        <f>_xlfn.XLOOKUP(Y136,master!M:M,master!L:L)</f>
        <v>SAVEX_B2B</v>
      </c>
      <c r="Y136" t="s">
        <v>51</v>
      </c>
      <c r="Z136" s="1">
        <v>16181</v>
      </c>
      <c r="AA136" s="1">
        <v>184453</v>
      </c>
      <c r="AB136">
        <f>COUNTIFS(Base!$C:$C,MAPPING!X136)</f>
        <v>1</v>
      </c>
    </row>
    <row r="137" spans="3:28" x14ac:dyDescent="0.35">
      <c r="C137" t="s">
        <v>535</v>
      </c>
      <c r="D137" t="s">
        <v>168</v>
      </c>
      <c r="F137" t="s">
        <v>535</v>
      </c>
      <c r="G137" t="s">
        <v>168</v>
      </c>
      <c r="K137" s="57" t="s">
        <v>1237</v>
      </c>
      <c r="L137" s="57" t="s">
        <v>1153</v>
      </c>
      <c r="M137" s="57" t="s">
        <v>1219</v>
      </c>
      <c r="N137" t="s">
        <v>1287</v>
      </c>
      <c r="X137" t="str">
        <f>_xlfn.XLOOKUP(Y137,master!M:M,master!L:L)</f>
        <v>UBER_FASHION_B2B</v>
      </c>
      <c r="Y137" t="s">
        <v>118</v>
      </c>
      <c r="Z137" s="1">
        <v>9393</v>
      </c>
      <c r="AA137" s="1">
        <v>92017</v>
      </c>
      <c r="AB137">
        <f>COUNTIFS(Base!$C:$C,MAPPING!X137)</f>
        <v>1</v>
      </c>
    </row>
    <row r="138" spans="3:28" x14ac:dyDescent="0.35">
      <c r="C138" t="s">
        <v>536</v>
      </c>
      <c r="D138" t="s">
        <v>332</v>
      </c>
      <c r="F138" t="s">
        <v>536</v>
      </c>
      <c r="G138" t="s">
        <v>332</v>
      </c>
      <c r="K138" s="57" t="s">
        <v>1107</v>
      </c>
      <c r="L138" s="57" t="s">
        <v>1168</v>
      </c>
      <c r="M138" s="57" t="s">
        <v>1219</v>
      </c>
      <c r="N138" t="s">
        <v>1317</v>
      </c>
      <c r="X138" t="str">
        <f>_xlfn.XLOOKUP(Y138,[1]rpk!$B:$B,[1]rpk!$A:$A)</f>
        <v>TAPI_FRUIT_B2B</v>
      </c>
      <c r="Y138" t="s">
        <v>1581</v>
      </c>
      <c r="Z138" s="1">
        <v>27222</v>
      </c>
      <c r="AA138" s="1">
        <v>299954</v>
      </c>
      <c r="AB138">
        <f>COUNTIFS(Base!$C:$C,MAPPING!X138)</f>
        <v>1</v>
      </c>
    </row>
    <row r="139" spans="3:28" x14ac:dyDescent="0.35">
      <c r="C139" t="s">
        <v>537</v>
      </c>
      <c r="D139" t="s">
        <v>331</v>
      </c>
      <c r="F139" t="s">
        <v>537</v>
      </c>
      <c r="G139" t="s">
        <v>331</v>
      </c>
      <c r="K139" s="57" t="s">
        <v>684</v>
      </c>
      <c r="L139" s="57" t="s">
        <v>120</v>
      </c>
      <c r="M139" s="57" t="s">
        <v>822</v>
      </c>
      <c r="N139" t="s">
        <v>1283</v>
      </c>
      <c r="X139" t="str">
        <f>_xlfn.XLOOKUP(Y139,[1]rpk!$B:$B,[1]rpk!$A:$A)</f>
        <v>WET_AND_DRY_B2B</v>
      </c>
      <c r="Y139" t="s">
        <v>1547</v>
      </c>
      <c r="Z139" s="1">
        <v>10313</v>
      </c>
      <c r="AA139" s="1">
        <v>147347</v>
      </c>
      <c r="AB139">
        <f>COUNTIFS(Base!$C:$C,MAPPING!X139)</f>
        <v>1</v>
      </c>
    </row>
    <row r="140" spans="3:28" x14ac:dyDescent="0.35">
      <c r="C140" t="s">
        <v>538</v>
      </c>
      <c r="D140" t="s">
        <v>322</v>
      </c>
      <c r="F140" t="s">
        <v>538</v>
      </c>
      <c r="G140" t="s">
        <v>322</v>
      </c>
      <c r="K140" s="57" t="s">
        <v>593</v>
      </c>
      <c r="L140" s="57" t="s">
        <v>298</v>
      </c>
      <c r="M140" s="57" t="s">
        <v>976</v>
      </c>
      <c r="N140" t="s">
        <v>1294</v>
      </c>
      <c r="X140" t="str">
        <f>_xlfn.XLOOKUP(Y140,[1]rpk!$B:$B,[1]rpk!$A:$A)</f>
        <v>REX_INDUSTRIES_B2B</v>
      </c>
      <c r="Y140" t="s">
        <v>1742</v>
      </c>
      <c r="Z140" s="1">
        <v>2094</v>
      </c>
      <c r="AA140" s="1">
        <v>25272</v>
      </c>
      <c r="AB140">
        <f>COUNTIFS(Base!$C:$C,MAPPING!X140)</f>
        <v>1</v>
      </c>
    </row>
    <row r="141" spans="3:28" x14ac:dyDescent="0.35">
      <c r="C141" t="s">
        <v>539</v>
      </c>
      <c r="D141" t="s">
        <v>139</v>
      </c>
      <c r="F141" t="s">
        <v>539</v>
      </c>
      <c r="G141" t="s">
        <v>139</v>
      </c>
      <c r="K141" s="57" t="s">
        <v>952</v>
      </c>
      <c r="L141" s="57" t="s">
        <v>953</v>
      </c>
      <c r="M141" s="57" t="s">
        <v>976</v>
      </c>
      <c r="N141" t="s">
        <v>1302</v>
      </c>
      <c r="X141" t="str">
        <f>_xlfn.XLOOKUP(Y141,[1]rpk!$B:$B,[1]rpk!$A:$A)</f>
        <v>VETOQUINOL_B2B</v>
      </c>
      <c r="Y141" t="s">
        <v>1589</v>
      </c>
      <c r="Z141" s="1">
        <v>12310</v>
      </c>
      <c r="AA141" s="1">
        <v>121474</v>
      </c>
      <c r="AB141">
        <f>COUNTIFS(Base!$C:$C,MAPPING!X141)</f>
        <v>1</v>
      </c>
    </row>
    <row r="142" spans="3:28" x14ac:dyDescent="0.35">
      <c r="C142" t="s">
        <v>540</v>
      </c>
      <c r="D142" t="s">
        <v>216</v>
      </c>
      <c r="F142" t="s">
        <v>540</v>
      </c>
      <c r="G142" t="s">
        <v>216</v>
      </c>
      <c r="K142" s="57" t="s">
        <v>1017</v>
      </c>
      <c r="L142" s="57" t="s">
        <v>143</v>
      </c>
      <c r="M142" s="57" t="s">
        <v>828</v>
      </c>
      <c r="N142" t="s">
        <v>1293</v>
      </c>
      <c r="X142" t="str">
        <f>_xlfn.XLOOKUP(Y142,master!M:M,master!L:L)</f>
        <v>Happilo_B2B</v>
      </c>
      <c r="Y142" t="s">
        <v>12</v>
      </c>
      <c r="Z142">
        <v>196</v>
      </c>
      <c r="AA142" s="1">
        <v>2648</v>
      </c>
      <c r="AB142">
        <f>COUNTIFS(Base!$C:$C,MAPPING!X142)</f>
        <v>1</v>
      </c>
    </row>
    <row r="143" spans="3:28" x14ac:dyDescent="0.35">
      <c r="C143" t="s">
        <v>541</v>
      </c>
      <c r="D143" t="s">
        <v>209</v>
      </c>
      <c r="F143" t="s">
        <v>541</v>
      </c>
      <c r="G143" t="s">
        <v>209</v>
      </c>
      <c r="K143" s="57" t="s">
        <v>1098</v>
      </c>
      <c r="L143" s="57" t="s">
        <v>1169</v>
      </c>
      <c r="M143" s="57" t="s">
        <v>1219</v>
      </c>
      <c r="N143" t="s">
        <v>1288</v>
      </c>
      <c r="X143" t="str">
        <f>_xlfn.XLOOKUP(Y143,[1]rpk!$B:$B,[1]rpk!$A:$A)</f>
        <v>CDS_LOGISTICS_B2B</v>
      </c>
      <c r="Y143" t="s">
        <v>1576</v>
      </c>
      <c r="Z143" s="1">
        <v>58309</v>
      </c>
      <c r="AA143" s="1">
        <v>563617</v>
      </c>
      <c r="AB143">
        <f>COUNTIFS(Base!$C:$C,MAPPING!X143)</f>
        <v>1</v>
      </c>
    </row>
    <row r="144" spans="3:28" x14ac:dyDescent="0.35">
      <c r="C144" t="s">
        <v>542</v>
      </c>
      <c r="D144" t="s">
        <v>273</v>
      </c>
      <c r="F144" t="s">
        <v>542</v>
      </c>
      <c r="G144" t="s">
        <v>273</v>
      </c>
      <c r="K144" s="57" t="s">
        <v>1238</v>
      </c>
      <c r="L144" s="57" t="s">
        <v>76</v>
      </c>
      <c r="M144" s="57" t="s">
        <v>822</v>
      </c>
      <c r="N144" t="s">
        <v>1287</v>
      </c>
      <c r="X144" t="str">
        <f>_xlfn.XLOOKUP(Y144,master!M:M,master!L:L)</f>
        <v>Goswift_B2B</v>
      </c>
      <c r="Y144" t="s">
        <v>104</v>
      </c>
      <c r="Z144" s="1">
        <v>7713</v>
      </c>
      <c r="AA144" s="1">
        <v>164659</v>
      </c>
      <c r="AB144">
        <f>COUNTIFS(Base!$C:$C,MAPPING!X144)</f>
        <v>1</v>
      </c>
    </row>
    <row r="145" spans="3:28" x14ac:dyDescent="0.35">
      <c r="C145" t="s">
        <v>543</v>
      </c>
      <c r="D145" t="s">
        <v>130</v>
      </c>
      <c r="F145" t="s">
        <v>543</v>
      </c>
      <c r="G145" t="s">
        <v>130</v>
      </c>
      <c r="K145" s="57" t="s">
        <v>483</v>
      </c>
      <c r="L145" s="57" t="s">
        <v>107</v>
      </c>
      <c r="M145" s="57" t="s">
        <v>1061</v>
      </c>
      <c r="N145" t="s">
        <v>1294</v>
      </c>
      <c r="X145" t="str">
        <f>_xlfn.XLOOKUP(Y145,master!M:M,master!L:L)</f>
        <v>ODDITY_HEALTHCARE_B2B</v>
      </c>
      <c r="Y145" t="s">
        <v>121</v>
      </c>
      <c r="Z145" s="1">
        <v>3846</v>
      </c>
      <c r="AA145" s="1">
        <v>161201</v>
      </c>
      <c r="AB145">
        <f>COUNTIFS(Base!$C:$C,MAPPING!X145)</f>
        <v>1</v>
      </c>
    </row>
    <row r="146" spans="3:28" x14ac:dyDescent="0.35">
      <c r="C146" t="s">
        <v>544</v>
      </c>
      <c r="D146" t="s">
        <v>329</v>
      </c>
      <c r="F146" t="s">
        <v>544</v>
      </c>
      <c r="G146" t="s">
        <v>329</v>
      </c>
      <c r="K146" s="57" t="s">
        <v>599</v>
      </c>
      <c r="L146" s="57" t="s">
        <v>1239</v>
      </c>
      <c r="M146" s="57" t="s">
        <v>825</v>
      </c>
      <c r="N146" t="s">
        <v>1297</v>
      </c>
      <c r="X146" t="str">
        <f>_xlfn.XLOOKUP(Y146,master!M:M,master!L:L)</f>
        <v>Amul_Macho_B2B</v>
      </c>
      <c r="Y146" t="s">
        <v>128</v>
      </c>
      <c r="Z146" s="1">
        <v>7011</v>
      </c>
      <c r="AA146" s="1">
        <v>110224</v>
      </c>
      <c r="AB146">
        <f>COUNTIFS(Base!$C:$C,MAPPING!X146)</f>
        <v>1</v>
      </c>
    </row>
    <row r="147" spans="3:28" x14ac:dyDescent="0.35">
      <c r="C147" t="s">
        <v>545</v>
      </c>
      <c r="D147" t="s">
        <v>2</v>
      </c>
      <c r="F147" t="s">
        <v>545</v>
      </c>
      <c r="G147" t="s">
        <v>2</v>
      </c>
      <c r="K147" s="57" t="s">
        <v>636</v>
      </c>
      <c r="L147" s="57" t="s">
        <v>31</v>
      </c>
      <c r="M147" s="57" t="s">
        <v>821</v>
      </c>
      <c r="N147" t="s">
        <v>1289</v>
      </c>
      <c r="X147" t="str">
        <f>_xlfn.XLOOKUP(Y147,[1]rpk!$B:$B,[1]rpk!$A:$A)</f>
        <v>TEAKWOOD_B2B</v>
      </c>
      <c r="Y147" t="s">
        <v>1553</v>
      </c>
      <c r="Z147" s="1">
        <v>4983</v>
      </c>
      <c r="AA147" s="1">
        <v>108277</v>
      </c>
      <c r="AB147">
        <f>COUNTIFS(Base!$C:$C,MAPPING!X147)</f>
        <v>1</v>
      </c>
    </row>
    <row r="148" spans="3:28" x14ac:dyDescent="0.35">
      <c r="C148" t="s">
        <v>546</v>
      </c>
      <c r="D148" t="s">
        <v>118</v>
      </c>
      <c r="F148" t="s">
        <v>546</v>
      </c>
      <c r="G148" t="s">
        <v>118</v>
      </c>
      <c r="K148" s="57" t="s">
        <v>768</v>
      </c>
      <c r="L148" s="57" t="s">
        <v>369</v>
      </c>
      <c r="M148" s="57" t="s">
        <v>837</v>
      </c>
      <c r="N148" t="s">
        <v>1283</v>
      </c>
      <c r="X148" t="str">
        <f>_xlfn.XLOOKUP(Y148,master!M:M,master!L:L)</f>
        <v>JK_GYPSUM_B2B</v>
      </c>
      <c r="Y148" t="s">
        <v>61</v>
      </c>
      <c r="Z148" s="1">
        <v>1625</v>
      </c>
      <c r="AA148" s="1">
        <v>29595</v>
      </c>
      <c r="AB148">
        <f>COUNTIFS(Base!$C:$C,MAPPING!X148)</f>
        <v>1</v>
      </c>
    </row>
    <row r="149" spans="3:28" x14ac:dyDescent="0.35">
      <c r="C149" t="s">
        <v>547</v>
      </c>
      <c r="D149" t="s">
        <v>319</v>
      </c>
      <c r="F149" t="s">
        <v>547</v>
      </c>
      <c r="G149" t="s">
        <v>319</v>
      </c>
      <c r="K149" s="57" t="s">
        <v>585</v>
      </c>
      <c r="L149" s="57" t="s">
        <v>126</v>
      </c>
      <c r="M149" s="57" t="s">
        <v>1225</v>
      </c>
      <c r="N149" t="s">
        <v>1322</v>
      </c>
      <c r="X149" t="str">
        <f>_xlfn.XLOOKUP(Y149,[1]rpk!$B:$B,[1]rpk!$A:$A)</f>
        <v>LIVPURE_B2B</v>
      </c>
      <c r="Y149" t="s">
        <v>1564</v>
      </c>
      <c r="Z149" s="1">
        <v>26658</v>
      </c>
      <c r="AA149" s="1">
        <v>303529</v>
      </c>
      <c r="AB149">
        <f>COUNTIFS(Base!$C:$C,MAPPING!X149)</f>
        <v>1</v>
      </c>
    </row>
    <row r="150" spans="3:28" x14ac:dyDescent="0.35">
      <c r="C150" t="s">
        <v>548</v>
      </c>
      <c r="D150" t="s">
        <v>261</v>
      </c>
      <c r="F150" t="s">
        <v>548</v>
      </c>
      <c r="G150" t="s">
        <v>261</v>
      </c>
      <c r="K150" s="57" t="s">
        <v>672</v>
      </c>
      <c r="L150" s="57" t="s">
        <v>370</v>
      </c>
      <c r="M150" s="57" t="s">
        <v>822</v>
      </c>
      <c r="N150" t="s">
        <v>1300</v>
      </c>
      <c r="X150" t="str">
        <f>_xlfn.XLOOKUP(Y150,master!M:M,master!L:L)</f>
        <v>TUAREG_B2B</v>
      </c>
      <c r="Y150" t="s">
        <v>31</v>
      </c>
      <c r="Z150" s="1">
        <v>10632</v>
      </c>
      <c r="AA150" s="1">
        <v>153290</v>
      </c>
      <c r="AB150">
        <f>COUNTIFS(Base!$C:$C,MAPPING!X150)</f>
        <v>1</v>
      </c>
    </row>
    <row r="151" spans="3:28" x14ac:dyDescent="0.35">
      <c r="C151" t="s">
        <v>549</v>
      </c>
      <c r="D151" t="s">
        <v>38</v>
      </c>
      <c r="F151" t="s">
        <v>549</v>
      </c>
      <c r="G151" t="s">
        <v>38</v>
      </c>
      <c r="K151" s="57" t="s">
        <v>1240</v>
      </c>
      <c r="L151" s="57" t="s">
        <v>1151</v>
      </c>
      <c r="M151" s="57" t="s">
        <v>1219</v>
      </c>
      <c r="N151" t="s">
        <v>1289</v>
      </c>
      <c r="X151" t="str">
        <f>_xlfn.XLOOKUP(Y151,master!M:M,master!L:L)</f>
        <v>Logistos_B2B</v>
      </c>
      <c r="Y151" t="s">
        <v>155</v>
      </c>
      <c r="Z151" s="1">
        <v>8822</v>
      </c>
      <c r="AA151" s="1">
        <v>117874</v>
      </c>
      <c r="AB151">
        <f>COUNTIFS(Base!$C:$C,MAPPING!X151)</f>
        <v>1</v>
      </c>
    </row>
    <row r="152" spans="3:28" x14ac:dyDescent="0.35">
      <c r="C152" t="s">
        <v>550</v>
      </c>
      <c r="D152" t="s">
        <v>169</v>
      </c>
      <c r="F152" t="s">
        <v>550</v>
      </c>
      <c r="G152" t="s">
        <v>169</v>
      </c>
      <c r="K152" s="57" t="s">
        <v>1129</v>
      </c>
      <c r="L152" s="57" t="s">
        <v>1170</v>
      </c>
      <c r="M152" s="57" t="s">
        <v>1219</v>
      </c>
      <c r="N152" t="s">
        <v>1294</v>
      </c>
      <c r="X152" t="str">
        <f>_xlfn.XLOOKUP(Y152,master!M:M,master!L:L)</f>
        <v>LUX_LYRA_B2B</v>
      </c>
      <c r="Y152" t="s">
        <v>71</v>
      </c>
      <c r="Z152" s="1">
        <v>34639</v>
      </c>
      <c r="AA152" s="1">
        <v>395931</v>
      </c>
      <c r="AB152">
        <f>COUNTIFS(Base!$C:$C,MAPPING!X152)</f>
        <v>1</v>
      </c>
    </row>
    <row r="153" spans="3:28" x14ac:dyDescent="0.35">
      <c r="C153" t="s">
        <v>551</v>
      </c>
      <c r="D153" t="s">
        <v>552</v>
      </c>
      <c r="F153" t="s">
        <v>551</v>
      </c>
      <c r="G153" t="s">
        <v>552</v>
      </c>
      <c r="K153" s="57" t="s">
        <v>1115</v>
      </c>
      <c r="L153" s="57" t="s">
        <v>255</v>
      </c>
      <c r="M153" s="57" t="s">
        <v>1219</v>
      </c>
      <c r="N153" t="s">
        <v>1282</v>
      </c>
      <c r="X153" t="str">
        <f>_xlfn.XLOOKUP(Y153,master!M:M,master!L:L)</f>
        <v>THE_EARTH_B2B</v>
      </c>
      <c r="Y153" t="s">
        <v>1158</v>
      </c>
      <c r="Z153" s="1">
        <v>18310</v>
      </c>
      <c r="AA153" s="1">
        <v>254344</v>
      </c>
      <c r="AB153">
        <f>COUNTIFS(Base!$C:$C,MAPPING!X153)</f>
        <v>1</v>
      </c>
    </row>
    <row r="154" spans="3:28" x14ac:dyDescent="0.35">
      <c r="C154" t="s">
        <v>553</v>
      </c>
      <c r="D154" t="s">
        <v>47</v>
      </c>
      <c r="F154" t="s">
        <v>553</v>
      </c>
      <c r="G154" t="s">
        <v>47</v>
      </c>
      <c r="K154" s="57" t="s">
        <v>1088</v>
      </c>
      <c r="L154" s="57" t="s">
        <v>1089</v>
      </c>
      <c r="M154" s="57" t="s">
        <v>1219</v>
      </c>
      <c r="N154" t="s">
        <v>1315</v>
      </c>
      <c r="X154" t="str">
        <f>_xlfn.XLOOKUP(Y154,master!M:M,master!L:L)</f>
        <v>SAR_INTERNATIONALS_B2B</v>
      </c>
      <c r="Y154" t="s">
        <v>369</v>
      </c>
      <c r="Z154" s="1">
        <v>10984</v>
      </c>
      <c r="AA154" s="1">
        <v>128234</v>
      </c>
      <c r="AB154">
        <f>COUNTIFS(Base!$C:$C,MAPPING!X154)</f>
        <v>1</v>
      </c>
    </row>
    <row r="155" spans="3:28" x14ac:dyDescent="0.35">
      <c r="C155" t="s">
        <v>554</v>
      </c>
      <c r="D155" t="s">
        <v>313</v>
      </c>
      <c r="F155" t="s">
        <v>554</v>
      </c>
      <c r="G155" t="s">
        <v>313</v>
      </c>
      <c r="K155" s="57" t="s">
        <v>561</v>
      </c>
      <c r="L155" s="57" t="s">
        <v>134</v>
      </c>
      <c r="M155" s="57" t="s">
        <v>1223</v>
      </c>
      <c r="N155" t="s">
        <v>1297</v>
      </c>
      <c r="X155" t="str">
        <f>_xlfn.XLOOKUP(Y155,master!M:M,master!L:L)</f>
        <v>ALPINO_B2B</v>
      </c>
      <c r="Y155" t="s">
        <v>138</v>
      </c>
      <c r="Z155">
        <v>225</v>
      </c>
      <c r="AA155" s="1">
        <v>11233</v>
      </c>
      <c r="AB155">
        <f>COUNTIFS(Base!$C:$C,MAPPING!X155)</f>
        <v>1</v>
      </c>
    </row>
    <row r="156" spans="3:28" x14ac:dyDescent="0.35">
      <c r="C156" t="s">
        <v>555</v>
      </c>
      <c r="D156" t="s">
        <v>271</v>
      </c>
      <c r="F156" t="s">
        <v>555</v>
      </c>
      <c r="G156" t="s">
        <v>271</v>
      </c>
      <c r="K156" s="57" t="s">
        <v>873</v>
      </c>
      <c r="L156" s="57" t="s">
        <v>874</v>
      </c>
      <c r="M156" s="57" t="s">
        <v>976</v>
      </c>
      <c r="N156" t="s">
        <v>1329</v>
      </c>
      <c r="X156" t="str">
        <f>_xlfn.XLOOKUP(Y156,master!M:M,master!L:L)</f>
        <v>CAFE_COFFEE_AHM_B2B</v>
      </c>
      <c r="Y156" t="s">
        <v>82</v>
      </c>
      <c r="Z156" s="1">
        <v>2307</v>
      </c>
      <c r="AA156" s="1">
        <v>73345</v>
      </c>
      <c r="AB156">
        <f>COUNTIFS(Base!$C:$C,MAPPING!X156)</f>
        <v>1</v>
      </c>
    </row>
    <row r="157" spans="3:28" x14ac:dyDescent="0.35">
      <c r="C157" t="s">
        <v>556</v>
      </c>
      <c r="D157" t="s">
        <v>41</v>
      </c>
      <c r="F157" t="s">
        <v>556</v>
      </c>
      <c r="G157" t="s">
        <v>41</v>
      </c>
      <c r="K157" s="57" t="s">
        <v>713</v>
      </c>
      <c r="L157" s="57" t="s">
        <v>195</v>
      </c>
      <c r="M157" s="57" t="s">
        <v>819</v>
      </c>
      <c r="N157" t="s">
        <v>1303</v>
      </c>
      <c r="X157" t="str">
        <f>_xlfn.XLOOKUP(Y157,master!M:M,master!L:L)</f>
        <v>STUDDS_B2B</v>
      </c>
      <c r="Y157" t="s">
        <v>149</v>
      </c>
      <c r="Z157" s="1">
        <v>25638</v>
      </c>
      <c r="AA157" s="1">
        <v>333511</v>
      </c>
      <c r="AB157">
        <f>COUNTIFS(Base!$C:$C,MAPPING!X157)</f>
        <v>1</v>
      </c>
    </row>
    <row r="158" spans="3:28" x14ac:dyDescent="0.35">
      <c r="C158" t="s">
        <v>557</v>
      </c>
      <c r="D158" t="s">
        <v>262</v>
      </c>
      <c r="F158" t="s">
        <v>557</v>
      </c>
      <c r="G158" t="s">
        <v>262</v>
      </c>
      <c r="K158" s="57" t="s">
        <v>1241</v>
      </c>
      <c r="L158" s="57" t="s">
        <v>71</v>
      </c>
      <c r="M158" s="57" t="s">
        <v>1061</v>
      </c>
      <c r="N158" t="s">
        <v>1062</v>
      </c>
      <c r="X158" t="str">
        <f>_xlfn.XLOOKUP(Y158,master!M:M,master!L:L)</f>
        <v>Vstramay_B2B</v>
      </c>
      <c r="Y158" t="s">
        <v>96</v>
      </c>
      <c r="Z158" s="1">
        <v>7659</v>
      </c>
      <c r="AA158" s="1">
        <v>167230</v>
      </c>
      <c r="AB158">
        <f>COUNTIFS(Base!$C:$C,MAPPING!X158)</f>
        <v>1</v>
      </c>
    </row>
    <row r="159" spans="3:28" x14ac:dyDescent="0.35">
      <c r="C159" t="s">
        <v>558</v>
      </c>
      <c r="D159" t="s">
        <v>311</v>
      </c>
      <c r="F159" t="s">
        <v>558</v>
      </c>
      <c r="G159" t="s">
        <v>311</v>
      </c>
      <c r="K159" s="57" t="s">
        <v>758</v>
      </c>
      <c r="L159" s="57" t="s">
        <v>359</v>
      </c>
      <c r="M159" s="57" t="s">
        <v>837</v>
      </c>
      <c r="N159" t="s">
        <v>1294</v>
      </c>
      <c r="X159" t="str">
        <f>_xlfn.XLOOKUP(Y159,master!M:M,master!L:L)</f>
        <v>MALLCOM_B2B</v>
      </c>
      <c r="Y159" t="s">
        <v>360</v>
      </c>
      <c r="Z159" s="1">
        <v>12074</v>
      </c>
      <c r="AA159" s="1">
        <v>137955</v>
      </c>
      <c r="AB159">
        <f>COUNTIFS(Base!$C:$C,MAPPING!X159)</f>
        <v>1</v>
      </c>
    </row>
    <row r="160" spans="3:28" x14ac:dyDescent="0.35">
      <c r="C160" t="s">
        <v>559</v>
      </c>
      <c r="D160" t="s">
        <v>40</v>
      </c>
      <c r="F160" t="s">
        <v>559</v>
      </c>
      <c r="G160" t="s">
        <v>40</v>
      </c>
      <c r="K160" s="57" t="s">
        <v>1242</v>
      </c>
      <c r="L160" s="57" t="s">
        <v>352</v>
      </c>
      <c r="M160" s="57" t="s">
        <v>837</v>
      </c>
      <c r="N160" t="s">
        <v>1297</v>
      </c>
      <c r="X160" t="str">
        <f>_xlfn.XLOOKUP(Y160,master!M:M,master!L:L)</f>
        <v>INNOVENT_B2B</v>
      </c>
      <c r="Y160" t="s">
        <v>77</v>
      </c>
      <c r="Z160" s="1">
        <v>17500</v>
      </c>
      <c r="AA160" s="1">
        <v>287722</v>
      </c>
      <c r="AB160">
        <f>COUNTIFS(Base!$C:$C,MAPPING!X160)</f>
        <v>1</v>
      </c>
    </row>
    <row r="161" spans="3:28" x14ac:dyDescent="0.35">
      <c r="C161" t="s">
        <v>560</v>
      </c>
      <c r="D161" t="s">
        <v>244</v>
      </c>
      <c r="F161" t="s">
        <v>560</v>
      </c>
      <c r="G161" t="s">
        <v>244</v>
      </c>
      <c r="K161" s="57" t="s">
        <v>449</v>
      </c>
      <c r="L161" s="57" t="s">
        <v>64</v>
      </c>
      <c r="M161" s="57" t="s">
        <v>1061</v>
      </c>
      <c r="N161" t="s">
        <v>1409</v>
      </c>
      <c r="X161" t="str">
        <f>_xlfn.XLOOKUP(Y161,master!M:M,master!L:L)</f>
        <v>Bharatpe_B2B</v>
      </c>
      <c r="Y161" t="s">
        <v>103</v>
      </c>
      <c r="Z161" s="1">
        <v>36512</v>
      </c>
      <c r="AA161" s="1">
        <v>594291</v>
      </c>
      <c r="AB161">
        <f>COUNTIFS(Base!$C:$C,MAPPING!X161)</f>
        <v>1</v>
      </c>
    </row>
    <row r="162" spans="3:28" x14ac:dyDescent="0.35">
      <c r="C162" t="s">
        <v>561</v>
      </c>
      <c r="D162" t="s">
        <v>134</v>
      </c>
      <c r="F162" t="s">
        <v>561</v>
      </c>
      <c r="G162" t="s">
        <v>134</v>
      </c>
      <c r="K162" s="57" t="s">
        <v>999</v>
      </c>
      <c r="L162" s="57" t="s">
        <v>176</v>
      </c>
      <c r="M162" s="57" t="s">
        <v>1235</v>
      </c>
      <c r="N162" t="s">
        <v>1293</v>
      </c>
      <c r="X162" t="str">
        <f>_xlfn.XLOOKUP(Y162,[1]rpk!$B:$B,[1]rpk!$A:$A)</f>
        <v>EKVIRA_LUD_B2B</v>
      </c>
      <c r="Y162" t="s">
        <v>316</v>
      </c>
      <c r="Z162" s="1">
        <v>25714</v>
      </c>
      <c r="AA162" s="1">
        <v>327659</v>
      </c>
      <c r="AB162">
        <f>COUNTIFS(Base!$C:$C,MAPPING!X162)</f>
        <v>1</v>
      </c>
    </row>
    <row r="163" spans="3:28" x14ac:dyDescent="0.35">
      <c r="C163" t="s">
        <v>562</v>
      </c>
      <c r="D163" t="s">
        <v>164</v>
      </c>
      <c r="F163" t="s">
        <v>562</v>
      </c>
      <c r="G163" t="s">
        <v>164</v>
      </c>
      <c r="K163" s="57" t="s">
        <v>655</v>
      </c>
      <c r="L163" s="57" t="s">
        <v>42</v>
      </c>
      <c r="M163" s="57" t="s">
        <v>815</v>
      </c>
      <c r="N163" t="s">
        <v>1300</v>
      </c>
      <c r="X163" t="str">
        <f>_xlfn.XLOOKUP(Y163,master!M:M,master!L:L)</f>
        <v>SHIPKART_B2B</v>
      </c>
      <c r="Y163" t="s">
        <v>1375</v>
      </c>
      <c r="Z163" s="1">
        <v>7037</v>
      </c>
      <c r="AA163" s="1">
        <v>125893</v>
      </c>
      <c r="AB163">
        <f>COUNTIFS(Base!$C:$C,MAPPING!X163)</f>
        <v>1</v>
      </c>
    </row>
    <row r="164" spans="3:28" x14ac:dyDescent="0.35">
      <c r="C164" t="s">
        <v>563</v>
      </c>
      <c r="D164" t="s">
        <v>165</v>
      </c>
      <c r="F164" t="s">
        <v>563</v>
      </c>
      <c r="G164" t="s">
        <v>165</v>
      </c>
      <c r="K164" s="57" t="s">
        <v>628</v>
      </c>
      <c r="L164" s="57" t="s">
        <v>148</v>
      </c>
      <c r="M164" s="57" t="s">
        <v>1061</v>
      </c>
      <c r="N164" t="s">
        <v>1294</v>
      </c>
      <c r="X164" t="str">
        <f>_xlfn.XLOOKUP(Y164,master!M:M,master!L:L)</f>
        <v>PANCHANAN_B2B</v>
      </c>
      <c r="Y164" t="s">
        <v>364</v>
      </c>
      <c r="Z164" s="1">
        <v>21671</v>
      </c>
      <c r="AA164" s="1">
        <v>278140</v>
      </c>
      <c r="AB164">
        <f>COUNTIFS(Base!$C:$C,MAPPING!X164)</f>
        <v>1</v>
      </c>
    </row>
    <row r="165" spans="3:28" x14ac:dyDescent="0.35">
      <c r="C165" t="s">
        <v>564</v>
      </c>
      <c r="D165" t="s">
        <v>308</v>
      </c>
      <c r="F165" t="s">
        <v>564</v>
      </c>
      <c r="G165" t="s">
        <v>308</v>
      </c>
      <c r="K165" s="57" t="s">
        <v>625</v>
      </c>
      <c r="L165" s="57" t="s">
        <v>51</v>
      </c>
      <c r="M165" s="57" t="s">
        <v>826</v>
      </c>
      <c r="N165" t="s">
        <v>1287</v>
      </c>
      <c r="X165" t="str">
        <f>_xlfn.XLOOKUP(Y165,master!M:M,master!L:L)</f>
        <v>Argo_Retail_B2B</v>
      </c>
      <c r="Y165" t="s">
        <v>197</v>
      </c>
      <c r="Z165" s="1">
        <v>32190</v>
      </c>
      <c r="AA165" s="1">
        <v>388698</v>
      </c>
      <c r="AB165">
        <f>COUNTIFS(Base!$C:$C,MAPPING!X165)</f>
        <v>1</v>
      </c>
    </row>
    <row r="166" spans="3:28" x14ac:dyDescent="0.35">
      <c r="C166" t="s">
        <v>565</v>
      </c>
      <c r="D166" t="s">
        <v>62</v>
      </c>
      <c r="F166" t="s">
        <v>565</v>
      </c>
      <c r="G166" t="s">
        <v>62</v>
      </c>
      <c r="K166" s="57" t="s">
        <v>960</v>
      </c>
      <c r="L166" s="57" t="s">
        <v>961</v>
      </c>
      <c r="M166" s="57" t="s">
        <v>976</v>
      </c>
      <c r="N166" t="s">
        <v>1297</v>
      </c>
      <c r="X166" t="str">
        <f>_xlfn.XLOOKUP(Y166,master!M:M,master!L:L)</f>
        <v>THE_WOOD_WHITE_B2B</v>
      </c>
      <c r="Y166" t="s">
        <v>192</v>
      </c>
      <c r="Z166" s="1">
        <v>28847</v>
      </c>
      <c r="AA166" s="1">
        <v>447741</v>
      </c>
      <c r="AB166">
        <f>COUNTIFS(Base!$C:$C,MAPPING!X166)</f>
        <v>1</v>
      </c>
    </row>
    <row r="167" spans="3:28" x14ac:dyDescent="0.35">
      <c r="C167" t="s">
        <v>566</v>
      </c>
      <c r="D167" t="s">
        <v>237</v>
      </c>
      <c r="F167" t="s">
        <v>566</v>
      </c>
      <c r="G167" t="s">
        <v>237</v>
      </c>
      <c r="K167" s="57" t="s">
        <v>745</v>
      </c>
      <c r="L167" s="57" t="s">
        <v>346</v>
      </c>
      <c r="M167" s="57" t="s">
        <v>837</v>
      </c>
      <c r="N167" t="s">
        <v>1283</v>
      </c>
      <c r="X167" t="str">
        <f>_xlfn.XLOOKUP(Y167,master!M:M,master!L:L)</f>
        <v>NANDINI_KNITWEARS_B2B</v>
      </c>
      <c r="Y167" t="s">
        <v>303</v>
      </c>
      <c r="Z167" s="1">
        <v>7640</v>
      </c>
      <c r="AA167" s="1">
        <v>130514</v>
      </c>
      <c r="AB167">
        <f>COUNTIFS(Base!$C:$C,MAPPING!X167)</f>
        <v>1</v>
      </c>
    </row>
    <row r="168" spans="3:28" x14ac:dyDescent="0.35">
      <c r="C168" t="s">
        <v>567</v>
      </c>
      <c r="D168" t="s">
        <v>170</v>
      </c>
      <c r="F168" t="s">
        <v>567</v>
      </c>
      <c r="G168" t="s">
        <v>170</v>
      </c>
      <c r="K168" s="57" t="s">
        <v>1140</v>
      </c>
      <c r="L168" s="57" t="s">
        <v>1171</v>
      </c>
      <c r="M168" s="57" t="s">
        <v>1219</v>
      </c>
      <c r="N168" t="s">
        <v>1303</v>
      </c>
      <c r="X168" t="str">
        <f>_xlfn.XLOOKUP(Y168,master!M:M,master!L:L)</f>
        <v>LITTLE_NAP_B2B</v>
      </c>
      <c r="Y168" t="s">
        <v>120</v>
      </c>
      <c r="Z168" s="1">
        <v>17770</v>
      </c>
      <c r="AA168" s="1">
        <v>180367</v>
      </c>
      <c r="AB168">
        <f>COUNTIFS(Base!$C:$C,MAPPING!X168)</f>
        <v>1</v>
      </c>
    </row>
    <row r="169" spans="3:28" x14ac:dyDescent="0.35">
      <c r="C169" t="s">
        <v>568</v>
      </c>
      <c r="D169" t="s">
        <v>293</v>
      </c>
      <c r="F169" t="s">
        <v>568</v>
      </c>
      <c r="G169" t="s">
        <v>293</v>
      </c>
      <c r="K169" s="57" t="s">
        <v>1243</v>
      </c>
      <c r="L169" s="57" t="s">
        <v>1167</v>
      </c>
      <c r="M169" s="57" t="s">
        <v>1219</v>
      </c>
      <c r="N169" t="s">
        <v>1287</v>
      </c>
      <c r="X169" t="str">
        <f>_xlfn.XLOOKUP(Y169,master!M:M,master!L:L)</f>
        <v>ARV_INDUSTRIES_B2B</v>
      </c>
      <c r="Y169" t="s">
        <v>1155</v>
      </c>
      <c r="Z169" s="1">
        <v>3533</v>
      </c>
      <c r="AA169" s="1">
        <v>43476</v>
      </c>
      <c r="AB169">
        <f>COUNTIFS(Base!$C:$C,MAPPING!X169)</f>
        <v>1</v>
      </c>
    </row>
    <row r="170" spans="3:28" ht="29" x14ac:dyDescent="0.35">
      <c r="C170" t="s">
        <v>569</v>
      </c>
      <c r="D170" t="s">
        <v>176</v>
      </c>
      <c r="F170" t="s">
        <v>569</v>
      </c>
      <c r="G170" t="s">
        <v>176</v>
      </c>
      <c r="K170" s="57" t="s">
        <v>1104</v>
      </c>
      <c r="L170" s="58" t="s">
        <v>1172</v>
      </c>
      <c r="M170" s="57" t="s">
        <v>1219</v>
      </c>
      <c r="N170" t="s">
        <v>1283</v>
      </c>
      <c r="X170" t="str">
        <f>_xlfn.XLOOKUP(Y170,master!M:M,master!L:L)</f>
        <v>HOLISTIQUE_B2B</v>
      </c>
      <c r="Y170" t="s">
        <v>49</v>
      </c>
      <c r="Z170" s="1">
        <v>1629</v>
      </c>
      <c r="AA170" s="1">
        <v>69572</v>
      </c>
      <c r="AB170">
        <f>COUNTIFS(Base!$C:$C,MAPPING!X170)</f>
        <v>1</v>
      </c>
    </row>
    <row r="171" spans="3:28" x14ac:dyDescent="0.35">
      <c r="C171" t="s">
        <v>570</v>
      </c>
      <c r="D171" t="s">
        <v>326</v>
      </c>
      <c r="F171" t="s">
        <v>570</v>
      </c>
      <c r="G171" t="s">
        <v>326</v>
      </c>
      <c r="K171" s="57" t="s">
        <v>1244</v>
      </c>
      <c r="L171" s="57" t="s">
        <v>352</v>
      </c>
      <c r="M171" s="57" t="s">
        <v>837</v>
      </c>
      <c r="N171" t="s">
        <v>1297</v>
      </c>
      <c r="X171" t="str">
        <f>_xlfn.XLOOKUP(Y171,master!M:M,master!L:L)</f>
        <v>HIKE_STORE_B2B</v>
      </c>
      <c r="Y171" t="s">
        <v>1176</v>
      </c>
      <c r="Z171" s="1">
        <v>12911</v>
      </c>
      <c r="AA171" s="1">
        <v>150028</v>
      </c>
      <c r="AB171">
        <f>COUNTIFS(Base!$C:$C,MAPPING!X171)</f>
        <v>1</v>
      </c>
    </row>
    <row r="172" spans="3:28" x14ac:dyDescent="0.35">
      <c r="C172" t="s">
        <v>571</v>
      </c>
      <c r="D172" t="s">
        <v>310</v>
      </c>
      <c r="F172" t="s">
        <v>571</v>
      </c>
      <c r="G172" t="s">
        <v>310</v>
      </c>
      <c r="K172" s="57" t="s">
        <v>644</v>
      </c>
      <c r="L172" s="57" t="s">
        <v>1245</v>
      </c>
      <c r="M172" s="57" t="s">
        <v>815</v>
      </c>
      <c r="N172" t="s">
        <v>1287</v>
      </c>
      <c r="X172" t="str">
        <f>_xlfn.XLOOKUP(Y172,master!M:M,master!L:L)</f>
        <v>COSMOS_B2B</v>
      </c>
      <c r="Y172" t="s">
        <v>206</v>
      </c>
      <c r="Z172">
        <v>390</v>
      </c>
      <c r="AA172" s="1">
        <v>18749</v>
      </c>
      <c r="AB172">
        <f>COUNTIFS(Base!$C:$C,MAPPING!X172)</f>
        <v>1</v>
      </c>
    </row>
    <row r="173" spans="3:28" x14ac:dyDescent="0.35">
      <c r="C173" t="s">
        <v>572</v>
      </c>
      <c r="D173" t="s">
        <v>254</v>
      </c>
      <c r="F173" t="s">
        <v>572</v>
      </c>
      <c r="G173" t="s">
        <v>254</v>
      </c>
      <c r="K173" s="57" t="s">
        <v>620</v>
      </c>
      <c r="L173" s="57" t="s">
        <v>21</v>
      </c>
      <c r="M173" s="57" t="s">
        <v>1061</v>
      </c>
      <c r="N173" t="s">
        <v>1312</v>
      </c>
      <c r="X173" t="str">
        <f>_xlfn.XLOOKUP(Y173,master!M:M,master!L:L)</f>
        <v>ACCUMAX_LAB_B2B</v>
      </c>
      <c r="Y173" t="s">
        <v>1337</v>
      </c>
      <c r="Z173" s="1">
        <v>12138</v>
      </c>
      <c r="AA173" s="1">
        <v>127114</v>
      </c>
      <c r="AB173">
        <f>COUNTIFS(Base!$C:$C,MAPPING!X173)</f>
        <v>1</v>
      </c>
    </row>
    <row r="174" spans="3:28" x14ac:dyDescent="0.35">
      <c r="C174" t="s">
        <v>573</v>
      </c>
      <c r="D174" t="s">
        <v>233</v>
      </c>
      <c r="F174" t="s">
        <v>573</v>
      </c>
      <c r="G174" t="s">
        <v>233</v>
      </c>
      <c r="K174" s="57" t="s">
        <v>707</v>
      </c>
      <c r="L174" s="57" t="s">
        <v>172</v>
      </c>
      <c r="M174" s="57" t="s">
        <v>1061</v>
      </c>
      <c r="N174" t="s">
        <v>1297</v>
      </c>
      <c r="X174" t="str">
        <f>_xlfn.XLOOKUP(Y174,master!M:M,master!L:L)</f>
        <v>Wellversed_B2B</v>
      </c>
      <c r="Y174" t="s">
        <v>148</v>
      </c>
      <c r="Z174" s="1">
        <v>6119</v>
      </c>
      <c r="AA174" s="1">
        <v>175863</v>
      </c>
      <c r="AB174">
        <f>COUNTIFS(Base!$C:$C,MAPPING!X174)</f>
        <v>1</v>
      </c>
    </row>
    <row r="175" spans="3:28" x14ac:dyDescent="0.35">
      <c r="C175" t="s">
        <v>574</v>
      </c>
      <c r="D175" t="s">
        <v>575</v>
      </c>
      <c r="F175" t="s">
        <v>574</v>
      </c>
      <c r="G175" t="s">
        <v>575</v>
      </c>
      <c r="K175" s="57" t="s">
        <v>416</v>
      </c>
      <c r="L175" s="57" t="s">
        <v>17</v>
      </c>
      <c r="M175" s="57" t="s">
        <v>1061</v>
      </c>
      <c r="N175" t="s">
        <v>1409</v>
      </c>
      <c r="X175" t="str">
        <f>_xlfn.XLOOKUP(Y175,master!M:M,master!L:L)</f>
        <v>Bombay_Wheels_B2B</v>
      </c>
      <c r="Y175" t="s">
        <v>24</v>
      </c>
      <c r="Z175" s="1">
        <v>39701</v>
      </c>
      <c r="AA175" s="1">
        <v>736967</v>
      </c>
      <c r="AB175">
        <f>COUNTIFS(Base!$C:$C,MAPPING!X175)</f>
        <v>1</v>
      </c>
    </row>
    <row r="176" spans="3:28" x14ac:dyDescent="0.35">
      <c r="C176" t="s">
        <v>576</v>
      </c>
      <c r="D176" t="s">
        <v>577</v>
      </c>
      <c r="F176" t="s">
        <v>576</v>
      </c>
      <c r="G176" t="s">
        <v>577</v>
      </c>
      <c r="K176" s="57" t="s">
        <v>1052</v>
      </c>
      <c r="L176" s="57" t="s">
        <v>1246</v>
      </c>
      <c r="M176" s="57" t="s">
        <v>819</v>
      </c>
      <c r="N176" t="s">
        <v>1287</v>
      </c>
      <c r="X176" t="str">
        <f>_xlfn.XLOOKUP(Y176,master!M:M,master!L:L)</f>
        <v>GLS_FILMS_B2B</v>
      </c>
      <c r="Y176" t="s">
        <v>1156</v>
      </c>
      <c r="Z176" s="1">
        <v>36244</v>
      </c>
      <c r="AA176" s="1">
        <v>227479</v>
      </c>
      <c r="AB176">
        <f>COUNTIFS(Base!$C:$C,MAPPING!X176)</f>
        <v>1</v>
      </c>
    </row>
    <row r="177" spans="3:28" x14ac:dyDescent="0.35">
      <c r="C177" t="s">
        <v>578</v>
      </c>
      <c r="D177" t="s">
        <v>300</v>
      </c>
      <c r="F177" t="s">
        <v>578</v>
      </c>
      <c r="G177" t="s">
        <v>300</v>
      </c>
      <c r="K177" s="57" t="s">
        <v>879</v>
      </c>
      <c r="L177" s="57" t="s">
        <v>880</v>
      </c>
      <c r="M177" s="57" t="s">
        <v>976</v>
      </c>
      <c r="N177" t="s">
        <v>1301</v>
      </c>
      <c r="X177" t="str">
        <f>_xlfn.XLOOKUP(Y177,[1]rpk!$B:$B,[1]rpk!$A:$A)</f>
        <v>AASHNA_CLUB_B2B</v>
      </c>
      <c r="Y177" t="s">
        <v>1574</v>
      </c>
      <c r="Z177" s="1">
        <v>27363</v>
      </c>
      <c r="AA177" s="1">
        <v>291209</v>
      </c>
      <c r="AB177">
        <f>COUNTIFS(Base!$C:$C,MAPPING!X177)</f>
        <v>1</v>
      </c>
    </row>
    <row r="178" spans="3:28" x14ac:dyDescent="0.35">
      <c r="C178" t="s">
        <v>579</v>
      </c>
      <c r="D178" t="s">
        <v>259</v>
      </c>
      <c r="F178" t="s">
        <v>579</v>
      </c>
      <c r="G178" t="s">
        <v>259</v>
      </c>
      <c r="K178" s="57" t="s">
        <v>755</v>
      </c>
      <c r="L178" s="57" t="s">
        <v>356</v>
      </c>
      <c r="M178" s="57" t="s">
        <v>837</v>
      </c>
      <c r="N178" t="s">
        <v>1062</v>
      </c>
      <c r="X178" t="str">
        <f>_xlfn.XLOOKUP(Y178,[1]rpk!$B:$B,[1]rpk!$A:$A)</f>
        <v>MAVEE_B2B</v>
      </c>
      <c r="Y178" t="s">
        <v>1579</v>
      </c>
      <c r="Z178" s="1">
        <v>2104</v>
      </c>
      <c r="AA178" s="1">
        <v>16804</v>
      </c>
      <c r="AB178">
        <f>COUNTIFS(Base!$C:$C,MAPPING!X178)</f>
        <v>1</v>
      </c>
    </row>
    <row r="179" spans="3:28" x14ac:dyDescent="0.35">
      <c r="C179" t="s">
        <v>580</v>
      </c>
      <c r="D179" t="s">
        <v>19</v>
      </c>
      <c r="F179" t="s">
        <v>580</v>
      </c>
      <c r="G179" t="s">
        <v>19</v>
      </c>
      <c r="K179" s="57" t="s">
        <v>1010</v>
      </c>
      <c r="L179" s="57" t="s">
        <v>82</v>
      </c>
      <c r="M179" s="57" t="s">
        <v>819</v>
      </c>
      <c r="N179" t="s">
        <v>1297</v>
      </c>
      <c r="X179" t="str">
        <f>_xlfn.XLOOKUP(Y179,[1]rpk!$B:$B,[1]rpk!$A:$A)</f>
        <v>SRI_ANJANEYA _B2B</v>
      </c>
      <c r="Y179" t="s">
        <v>1743</v>
      </c>
      <c r="Z179" s="1">
        <v>2941</v>
      </c>
      <c r="AA179" s="1">
        <v>34165</v>
      </c>
      <c r="AB179">
        <f>COUNTIFS(Base!$C:$C,MAPPING!X179)</f>
        <v>1</v>
      </c>
    </row>
    <row r="180" spans="3:28" x14ac:dyDescent="0.35">
      <c r="C180" t="s">
        <v>581</v>
      </c>
      <c r="D180" t="s">
        <v>225</v>
      </c>
      <c r="F180" t="s">
        <v>581</v>
      </c>
      <c r="G180" t="s">
        <v>225</v>
      </c>
      <c r="K180" s="57" t="s">
        <v>660</v>
      </c>
      <c r="L180" s="57" t="s">
        <v>63</v>
      </c>
      <c r="M180" s="57" t="s">
        <v>819</v>
      </c>
      <c r="N180" t="s">
        <v>1293</v>
      </c>
      <c r="X180" t="str">
        <f>_xlfn.XLOOKUP(Y180,master!M:M,master!L:L)</f>
        <v>BULLWORK_MOBILITY_B2B</v>
      </c>
      <c r="Y180" t="s">
        <v>1178</v>
      </c>
      <c r="Z180" s="1">
        <v>6322</v>
      </c>
      <c r="AA180" s="1">
        <v>85095</v>
      </c>
      <c r="AB180">
        <f>COUNTIFS(Base!$C:$C,MAPPING!X180)</f>
        <v>1</v>
      </c>
    </row>
    <row r="181" spans="3:28" x14ac:dyDescent="0.35">
      <c r="C181" t="s">
        <v>582</v>
      </c>
      <c r="D181" t="s">
        <v>320</v>
      </c>
      <c r="F181" t="s">
        <v>582</v>
      </c>
      <c r="G181" t="s">
        <v>320</v>
      </c>
      <c r="K181" s="57" t="s">
        <v>697</v>
      </c>
      <c r="L181" s="57" t="s">
        <v>141</v>
      </c>
      <c r="M181" s="57" t="s">
        <v>819</v>
      </c>
      <c r="N181" t="s">
        <v>1303</v>
      </c>
      <c r="X181" t="str">
        <f>_xlfn.XLOOKUP(Y181,master!M:M,master!L:L)</f>
        <v>Kutchina_B2B</v>
      </c>
      <c r="Y181" t="s">
        <v>75</v>
      </c>
      <c r="Z181" s="1">
        <v>5763</v>
      </c>
      <c r="AA181" s="1">
        <v>40835</v>
      </c>
      <c r="AB181">
        <f>COUNTIFS(Base!$C:$C,MAPPING!X181)</f>
        <v>1</v>
      </c>
    </row>
    <row r="182" spans="3:28" x14ac:dyDescent="0.35">
      <c r="C182" t="s">
        <v>583</v>
      </c>
      <c r="D182" t="s">
        <v>304</v>
      </c>
      <c r="F182" t="s">
        <v>583</v>
      </c>
      <c r="G182" t="s">
        <v>304</v>
      </c>
      <c r="K182" s="57" t="s">
        <v>1247</v>
      </c>
      <c r="L182" s="57" t="s">
        <v>352</v>
      </c>
      <c r="M182" s="57" t="s">
        <v>837</v>
      </c>
      <c r="N182" t="s">
        <v>1297</v>
      </c>
      <c r="X182" t="str">
        <f>_xlfn.XLOOKUP(Y182,[1]rpk!$B:$B,[1]rpk!$A:$A)</f>
        <v>SV_INTERNATIONAL_B2B</v>
      </c>
      <c r="Y182" t="s">
        <v>1573</v>
      </c>
      <c r="Z182" s="1">
        <v>24616</v>
      </c>
      <c r="AA182" s="1">
        <v>252446</v>
      </c>
      <c r="AB182">
        <f>COUNTIFS(Base!$C:$C,MAPPING!X182)</f>
        <v>1</v>
      </c>
    </row>
    <row r="183" spans="3:28" x14ac:dyDescent="0.35">
      <c r="C183" t="s">
        <v>584</v>
      </c>
      <c r="D183" t="s">
        <v>77</v>
      </c>
      <c r="F183" t="s">
        <v>584</v>
      </c>
      <c r="G183" t="s">
        <v>77</v>
      </c>
      <c r="K183" s="57" t="s">
        <v>464</v>
      </c>
      <c r="L183" s="57" t="s">
        <v>1248</v>
      </c>
      <c r="M183" s="57" t="s">
        <v>1061</v>
      </c>
      <c r="N183" t="s">
        <v>1062</v>
      </c>
      <c r="X183" t="str">
        <f>_xlfn.XLOOKUP(Y183,master!M:M,master!L:L)</f>
        <v>KWW_ELECTRICALS_B2B</v>
      </c>
      <c r="Y183" t="s">
        <v>356</v>
      </c>
      <c r="Z183" s="1">
        <v>17250</v>
      </c>
      <c r="AA183" s="1">
        <v>130429</v>
      </c>
      <c r="AB183">
        <f>COUNTIFS(Base!$C:$C,MAPPING!X183)</f>
        <v>1</v>
      </c>
    </row>
    <row r="184" spans="3:28" x14ac:dyDescent="0.35">
      <c r="C184" t="s">
        <v>585</v>
      </c>
      <c r="D184" t="s">
        <v>126</v>
      </c>
      <c r="F184" t="s">
        <v>585</v>
      </c>
      <c r="G184" t="s">
        <v>126</v>
      </c>
      <c r="K184" s="57" t="s">
        <v>776</v>
      </c>
      <c r="L184" s="57" t="s">
        <v>378</v>
      </c>
      <c r="M184" s="57" t="s">
        <v>837</v>
      </c>
      <c r="N184" t="s">
        <v>1301</v>
      </c>
      <c r="X184" t="str">
        <f>_xlfn.XLOOKUP(Y184,master!M:M,master!L:L)</f>
        <v>STYLE_WAVES_B2B</v>
      </c>
      <c r="Y184" t="s">
        <v>84</v>
      </c>
      <c r="Z184">
        <v>91</v>
      </c>
      <c r="AA184" s="1">
        <v>3188</v>
      </c>
      <c r="AB184">
        <f>COUNTIFS(Base!$C:$C,MAPPING!X184)</f>
        <v>1</v>
      </c>
    </row>
    <row r="185" spans="3:28" x14ac:dyDescent="0.35">
      <c r="C185" t="s">
        <v>586</v>
      </c>
      <c r="D185" t="s">
        <v>86</v>
      </c>
      <c r="F185" t="s">
        <v>586</v>
      </c>
      <c r="G185" t="s">
        <v>86</v>
      </c>
      <c r="K185" s="57" t="s">
        <v>1130</v>
      </c>
      <c r="L185" s="57" t="s">
        <v>1173</v>
      </c>
      <c r="M185" s="57" t="s">
        <v>1219</v>
      </c>
      <c r="N185" t="e">
        <v>#N/A</v>
      </c>
      <c r="X185" t="str">
        <f>_xlfn.XLOOKUP(Y185,master!M:M,master!L:L)</f>
        <v>OLBUIZ_B2B</v>
      </c>
      <c r="Y185" t="s">
        <v>97</v>
      </c>
      <c r="Z185" s="1">
        <v>8375</v>
      </c>
      <c r="AA185" s="1">
        <v>228716</v>
      </c>
      <c r="AB185">
        <f>COUNTIFS(Base!$C:$C,MAPPING!X185)</f>
        <v>1</v>
      </c>
    </row>
    <row r="186" spans="3:28" x14ac:dyDescent="0.35">
      <c r="C186" t="s">
        <v>395</v>
      </c>
      <c r="D186" t="s">
        <v>263</v>
      </c>
      <c r="F186" t="s">
        <v>395</v>
      </c>
      <c r="G186" t="s">
        <v>263</v>
      </c>
      <c r="K186" s="57" t="s">
        <v>481</v>
      </c>
      <c r="L186" s="57" t="s">
        <v>102</v>
      </c>
      <c r="M186" s="57" t="s">
        <v>827</v>
      </c>
      <c r="N186" t="s">
        <v>1409</v>
      </c>
      <c r="X186" t="str">
        <f>_xlfn.XLOOKUP(Y186,master!M:M,master!L:L)</f>
        <v>Oxys_Beauty_B2B</v>
      </c>
      <c r="Y186" t="s">
        <v>165</v>
      </c>
      <c r="Z186" s="1">
        <v>1612</v>
      </c>
      <c r="AA186" s="1">
        <v>117324</v>
      </c>
      <c r="AB186">
        <f>COUNTIFS(Base!$C:$C,MAPPING!X186)</f>
        <v>1</v>
      </c>
    </row>
    <row r="187" spans="3:28" x14ac:dyDescent="0.35">
      <c r="C187" t="s">
        <v>407</v>
      </c>
      <c r="D187" t="s">
        <v>213</v>
      </c>
      <c r="F187" t="s">
        <v>407</v>
      </c>
      <c r="G187" t="s">
        <v>213</v>
      </c>
      <c r="K187" s="57" t="s">
        <v>418</v>
      </c>
      <c r="L187" s="57" t="s">
        <v>33</v>
      </c>
      <c r="M187" s="57" t="s">
        <v>1061</v>
      </c>
      <c r="N187" t="s">
        <v>1407</v>
      </c>
      <c r="X187" t="str">
        <f>_xlfn.XLOOKUP(Y187,[1]rpk!$B:$B,[1]rpk!$A:$A)</f>
        <v>OZONE_B2B</v>
      </c>
      <c r="Y187" t="s">
        <v>1586</v>
      </c>
      <c r="Z187" s="1">
        <v>30316</v>
      </c>
      <c r="AA187" s="1">
        <v>299387</v>
      </c>
      <c r="AB187">
        <f>COUNTIFS(Base!$C:$C,MAPPING!X187)</f>
        <v>1</v>
      </c>
    </row>
    <row r="188" spans="3:28" x14ac:dyDescent="0.35">
      <c r="C188" t="s">
        <v>587</v>
      </c>
      <c r="D188" t="s">
        <v>110</v>
      </c>
      <c r="F188" t="s">
        <v>587</v>
      </c>
      <c r="G188" t="s">
        <v>110</v>
      </c>
      <c r="K188" s="57" t="s">
        <v>549</v>
      </c>
      <c r="L188" s="57" t="s">
        <v>38</v>
      </c>
      <c r="M188" s="57" t="s">
        <v>1223</v>
      </c>
      <c r="N188" t="s">
        <v>1293</v>
      </c>
      <c r="X188" t="str">
        <f>_xlfn.XLOOKUP(Y188,master!M:M,master!L:L)</f>
        <v>LA_VERNE_B2B</v>
      </c>
      <c r="Y188" t="s">
        <v>298</v>
      </c>
      <c r="Z188" s="1">
        <v>11183</v>
      </c>
      <c r="AA188" s="1">
        <v>125205</v>
      </c>
      <c r="AB188">
        <f>COUNTIFS(Base!$C:$C,MAPPING!X188)</f>
        <v>1</v>
      </c>
    </row>
    <row r="189" spans="3:28" x14ac:dyDescent="0.35">
      <c r="C189" t="s">
        <v>588</v>
      </c>
      <c r="D189" t="s">
        <v>228</v>
      </c>
      <c r="F189" t="s">
        <v>588</v>
      </c>
      <c r="G189" t="s">
        <v>228</v>
      </c>
      <c r="K189" s="57" t="s">
        <v>698</v>
      </c>
      <c r="L189" s="57" t="s">
        <v>146</v>
      </c>
      <c r="M189" s="57" t="s">
        <v>810</v>
      </c>
      <c r="N189" t="s">
        <v>1294</v>
      </c>
      <c r="X189" t="str">
        <f>_xlfn.XLOOKUP(Y189,master!M:M,master!L:L)</f>
        <v>Renee_Cosmetics_B2B</v>
      </c>
      <c r="Y189" t="s">
        <v>176</v>
      </c>
      <c r="Z189" s="1">
        <v>2422</v>
      </c>
      <c r="AA189" s="1">
        <v>44083</v>
      </c>
      <c r="AB189">
        <f>COUNTIFS(Base!$C:$C,MAPPING!X189)</f>
        <v>1</v>
      </c>
    </row>
    <row r="190" spans="3:28" x14ac:dyDescent="0.35">
      <c r="C190" t="s">
        <v>589</v>
      </c>
      <c r="D190" t="s">
        <v>191</v>
      </c>
      <c r="F190" t="s">
        <v>589</v>
      </c>
      <c r="G190" t="s">
        <v>191</v>
      </c>
      <c r="K190" s="57" t="s">
        <v>1072</v>
      </c>
      <c r="L190" s="57" t="s">
        <v>381</v>
      </c>
      <c r="M190" s="57" t="s">
        <v>837</v>
      </c>
      <c r="N190" t="s">
        <v>1297</v>
      </c>
      <c r="X190" t="str">
        <f>_xlfn.XLOOKUP(Y190,master!M:M,master!L:L)</f>
        <v>ROMSONS_PRIME_B2B</v>
      </c>
      <c r="Y190" t="s">
        <v>1372</v>
      </c>
      <c r="Z190" s="1">
        <v>20007</v>
      </c>
      <c r="AA190" s="1">
        <v>212914</v>
      </c>
      <c r="AB190">
        <f>COUNTIFS(Base!$C:$C,MAPPING!X190)</f>
        <v>1</v>
      </c>
    </row>
    <row r="191" spans="3:28" x14ac:dyDescent="0.35">
      <c r="C191" t="s">
        <v>590</v>
      </c>
      <c r="D191" t="s">
        <v>128</v>
      </c>
      <c r="F191" t="s">
        <v>590</v>
      </c>
      <c r="G191" t="s">
        <v>128</v>
      </c>
      <c r="K191" s="57" t="s">
        <v>920</v>
      </c>
      <c r="L191" s="57" t="s">
        <v>921</v>
      </c>
      <c r="M191" s="57" t="s">
        <v>976</v>
      </c>
      <c r="N191" t="s">
        <v>1303</v>
      </c>
      <c r="X191" t="str">
        <f>_xlfn.XLOOKUP(Y191,master!M:M,master!L:L)</f>
        <v>TRUEX_LOGISTIC_B2B</v>
      </c>
      <c r="Y191" t="s">
        <v>1166</v>
      </c>
      <c r="Z191" s="1">
        <v>13636</v>
      </c>
      <c r="AA191" s="1">
        <v>117691</v>
      </c>
      <c r="AB191">
        <f>COUNTIFS(Base!$C:$C,MAPPING!X191)</f>
        <v>1</v>
      </c>
    </row>
    <row r="192" spans="3:28" x14ac:dyDescent="0.35">
      <c r="C192" t="s">
        <v>550</v>
      </c>
      <c r="D192" t="s">
        <v>222</v>
      </c>
      <c r="F192" t="s">
        <v>550</v>
      </c>
      <c r="G192" t="s">
        <v>222</v>
      </c>
      <c r="K192" s="57" t="s">
        <v>401</v>
      </c>
      <c r="L192" s="57" t="s">
        <v>13</v>
      </c>
      <c r="M192" s="57" t="s">
        <v>813</v>
      </c>
      <c r="N192" t="s">
        <v>1297</v>
      </c>
      <c r="X192" t="str">
        <f>_xlfn.XLOOKUP(Y192,master!M:M,master!L:L)</f>
        <v>UNIVISION_B2B</v>
      </c>
      <c r="Y192" t="s">
        <v>113</v>
      </c>
      <c r="Z192">
        <v>118</v>
      </c>
      <c r="AA192" s="1">
        <v>35792</v>
      </c>
      <c r="AB192">
        <f>COUNTIFS(Base!$C:$C,MAPPING!X192)</f>
        <v>1</v>
      </c>
    </row>
    <row r="193" spans="3:28" x14ac:dyDescent="0.35">
      <c r="C193" t="s">
        <v>550</v>
      </c>
      <c r="D193" t="s">
        <v>214</v>
      </c>
      <c r="F193" t="s">
        <v>550</v>
      </c>
      <c r="G193" t="s">
        <v>214</v>
      </c>
      <c r="K193" s="57" t="s">
        <v>1138</v>
      </c>
      <c r="L193" s="57" t="s">
        <v>1174</v>
      </c>
      <c r="M193" s="57" t="s">
        <v>1219</v>
      </c>
      <c r="N193" t="s">
        <v>1287</v>
      </c>
      <c r="X193" t="str">
        <f>_xlfn.XLOOKUP(Y193,master!M:M,master!L:L)</f>
        <v>KP_LEATHER_B2B</v>
      </c>
      <c r="Y193" t="s">
        <v>141</v>
      </c>
      <c r="Z193" s="1">
        <v>17992</v>
      </c>
      <c r="AA193" s="1">
        <v>218615</v>
      </c>
      <c r="AB193">
        <f>COUNTIFS(Base!$C:$C,MAPPING!X193)</f>
        <v>1</v>
      </c>
    </row>
    <row r="194" spans="3:28" x14ac:dyDescent="0.35">
      <c r="C194" t="s">
        <v>407</v>
      </c>
      <c r="D194" t="s">
        <v>95</v>
      </c>
      <c r="F194" t="s">
        <v>407</v>
      </c>
      <c r="G194" t="s">
        <v>95</v>
      </c>
      <c r="K194" s="57" t="s">
        <v>1123</v>
      </c>
      <c r="L194" s="57" t="s">
        <v>1175</v>
      </c>
      <c r="M194" s="57" t="s">
        <v>1219</v>
      </c>
      <c r="N194" t="s">
        <v>1289</v>
      </c>
      <c r="X194" t="str">
        <f>_xlfn.XLOOKUP(Y194,master!M:M,master!L:L)</f>
        <v>NEWS_EXPRESS_B2B</v>
      </c>
      <c r="Y194" t="s">
        <v>923</v>
      </c>
      <c r="Z194" s="1">
        <v>2889</v>
      </c>
      <c r="AA194" s="1">
        <v>38058</v>
      </c>
      <c r="AB194">
        <f>COUNTIFS(Base!$C:$C,MAPPING!X194)</f>
        <v>1</v>
      </c>
    </row>
    <row r="195" spans="3:28" x14ac:dyDescent="0.35">
      <c r="C195" t="s">
        <v>591</v>
      </c>
      <c r="D195" t="s">
        <v>59</v>
      </c>
      <c r="F195" t="s">
        <v>591</v>
      </c>
      <c r="G195" t="s">
        <v>59</v>
      </c>
      <c r="K195" s="57" t="s">
        <v>992</v>
      </c>
      <c r="L195" s="57" t="s">
        <v>78</v>
      </c>
      <c r="M195" s="57" t="s">
        <v>828</v>
      </c>
      <c r="N195" t="s">
        <v>1312</v>
      </c>
      <c r="X195" t="str">
        <f>_xlfn.XLOOKUP(Y195,[1]rpk!$B:$B,[1]rpk!$A:$A)</f>
        <v>CHASE_LIFESTYLE_B2B</v>
      </c>
      <c r="Y195" t="s">
        <v>1562</v>
      </c>
      <c r="Z195" s="1">
        <v>6499</v>
      </c>
      <c r="AA195" s="1">
        <v>87774</v>
      </c>
      <c r="AB195">
        <f>COUNTIFS(Base!$C:$C,MAPPING!X195)</f>
        <v>1</v>
      </c>
    </row>
    <row r="196" spans="3:28" x14ac:dyDescent="0.35">
      <c r="C196" t="s">
        <v>592</v>
      </c>
      <c r="D196" t="s">
        <v>60</v>
      </c>
      <c r="F196" t="s">
        <v>592</v>
      </c>
      <c r="G196" t="s">
        <v>60</v>
      </c>
      <c r="K196" s="57" t="s">
        <v>1073</v>
      </c>
      <c r="L196" s="57" t="s">
        <v>103</v>
      </c>
      <c r="M196" s="57" t="s">
        <v>810</v>
      </c>
      <c r="N196" t="s">
        <v>1407</v>
      </c>
      <c r="X196" t="str">
        <f>_xlfn.XLOOKUP(Y196,[1]rpk!$B:$B,[1]rpk!$A:$A)</f>
        <v>HUB_STORES_B2B</v>
      </c>
      <c r="Y196" t="s">
        <v>1744</v>
      </c>
      <c r="Z196" s="1">
        <v>10576</v>
      </c>
      <c r="AA196" s="1">
        <v>128017</v>
      </c>
      <c r="AB196">
        <f>COUNTIFS(Base!$C:$C,MAPPING!X196)</f>
        <v>1</v>
      </c>
    </row>
    <row r="197" spans="3:28" x14ac:dyDescent="0.35">
      <c r="C197" t="s">
        <v>593</v>
      </c>
      <c r="D197" t="s">
        <v>298</v>
      </c>
      <c r="F197" t="s">
        <v>593</v>
      </c>
      <c r="G197" t="s">
        <v>298</v>
      </c>
      <c r="K197" s="57" t="s">
        <v>466</v>
      </c>
      <c r="L197" s="57" t="s">
        <v>121</v>
      </c>
      <c r="M197" s="57" t="s">
        <v>813</v>
      </c>
      <c r="N197" t="s">
        <v>1409</v>
      </c>
      <c r="X197" t="str">
        <f>_xlfn.XLOOKUP(Y197,master!M:M,master!L:L)</f>
        <v>SAVANI_TEXTILE_B2B</v>
      </c>
      <c r="Y197" t="s">
        <v>1373</v>
      </c>
      <c r="Z197" s="1">
        <v>9517</v>
      </c>
      <c r="AA197" s="1">
        <v>141620</v>
      </c>
      <c r="AB197">
        <f>COUNTIFS(Base!$C:$C,MAPPING!X197)</f>
        <v>1</v>
      </c>
    </row>
    <row r="198" spans="3:28" x14ac:dyDescent="0.35">
      <c r="C198" t="s">
        <v>594</v>
      </c>
      <c r="D198" t="s">
        <v>315</v>
      </c>
      <c r="F198" t="s">
        <v>594</v>
      </c>
      <c r="G198" t="s">
        <v>315</v>
      </c>
      <c r="K198" s="57" t="s">
        <v>1249</v>
      </c>
      <c r="L198" s="57" t="s">
        <v>352</v>
      </c>
      <c r="M198" s="57" t="s">
        <v>837</v>
      </c>
      <c r="N198" t="s">
        <v>1297</v>
      </c>
      <c r="X198" t="str">
        <f>_xlfn.XLOOKUP(Y198,[1]rpk!$B:$B,[1]rpk!$A:$A)</f>
        <v>TEJ_EXPRESS_B2B</v>
      </c>
      <c r="Y198" t="s">
        <v>1559</v>
      </c>
      <c r="Z198" s="1">
        <v>11471</v>
      </c>
      <c r="AA198" s="1">
        <v>178550</v>
      </c>
      <c r="AB198">
        <f>COUNTIFS(Base!$C:$C,MAPPING!X198)</f>
        <v>1</v>
      </c>
    </row>
    <row r="199" spans="3:28" x14ac:dyDescent="0.35">
      <c r="C199" t="s">
        <v>595</v>
      </c>
      <c r="D199" t="s">
        <v>204</v>
      </c>
      <c r="F199" t="s">
        <v>595</v>
      </c>
      <c r="G199" t="s">
        <v>204</v>
      </c>
      <c r="K199" s="57" t="s">
        <v>543</v>
      </c>
      <c r="L199" s="57" t="s">
        <v>130</v>
      </c>
      <c r="M199" s="57" t="s">
        <v>829</v>
      </c>
      <c r="N199" t="s">
        <v>1293</v>
      </c>
      <c r="X199" t="str">
        <f>_xlfn.XLOOKUP(Y199,master!M:M,master!L:L)</f>
        <v>COFFEE_B2B</v>
      </c>
      <c r="Y199" t="s">
        <v>37</v>
      </c>
      <c r="Z199" s="1">
        <v>5700</v>
      </c>
      <c r="AA199" s="1">
        <v>82069</v>
      </c>
      <c r="AB199">
        <f>COUNTIFS(Base!$C:$C,MAPPING!X199)</f>
        <v>1</v>
      </c>
    </row>
    <row r="200" spans="3:28" x14ac:dyDescent="0.35">
      <c r="C200" t="s">
        <v>596</v>
      </c>
      <c r="D200" t="s">
        <v>285</v>
      </c>
      <c r="F200" t="s">
        <v>596</v>
      </c>
      <c r="G200" t="s">
        <v>285</v>
      </c>
      <c r="K200" s="57" t="s">
        <v>553</v>
      </c>
      <c r="L200" s="57" t="s">
        <v>1250</v>
      </c>
      <c r="M200" s="57" t="s">
        <v>1061</v>
      </c>
      <c r="N200" t="s">
        <v>1292</v>
      </c>
      <c r="X200" t="str">
        <f>_xlfn.XLOOKUP(Y200,master!M:M,master!L:L)</f>
        <v>IBall_Ecom_B2B</v>
      </c>
      <c r="Y200" t="s">
        <v>1343</v>
      </c>
      <c r="Z200" s="1">
        <v>10454</v>
      </c>
      <c r="AA200" s="1">
        <v>114508</v>
      </c>
      <c r="AB200">
        <f>COUNTIFS(Base!$C:$C,MAPPING!X200)</f>
        <v>1</v>
      </c>
    </row>
    <row r="201" spans="3:28" x14ac:dyDescent="0.35">
      <c r="C201" t="s">
        <v>597</v>
      </c>
      <c r="D201" t="s">
        <v>227</v>
      </c>
      <c r="F201" t="s">
        <v>597</v>
      </c>
      <c r="G201" t="s">
        <v>227</v>
      </c>
      <c r="K201" s="57" t="s">
        <v>390</v>
      </c>
      <c r="L201" s="57" t="s">
        <v>6</v>
      </c>
      <c r="M201" s="57" t="s">
        <v>811</v>
      </c>
      <c r="N201" t="s">
        <v>1062</v>
      </c>
      <c r="X201" t="str">
        <f>_xlfn.XLOOKUP(Y201,master!M:M,master!L:L)</f>
        <v>SYNFOCOM_B2B</v>
      </c>
      <c r="Y201" t="s">
        <v>134</v>
      </c>
      <c r="Z201" s="1">
        <v>1242</v>
      </c>
      <c r="AA201" s="1">
        <v>47508</v>
      </c>
      <c r="AB201">
        <f>COUNTIFS(Base!$C:$C,MAPPING!X201)</f>
        <v>1</v>
      </c>
    </row>
    <row r="202" spans="3:28" x14ac:dyDescent="0.35">
      <c r="C202" t="s">
        <v>598</v>
      </c>
      <c r="D202" t="s">
        <v>248</v>
      </c>
      <c r="F202" t="s">
        <v>598</v>
      </c>
      <c r="G202" t="s">
        <v>248</v>
      </c>
      <c r="K202" s="57" t="s">
        <v>1092</v>
      </c>
      <c r="L202" s="57" t="s">
        <v>1176</v>
      </c>
      <c r="M202" s="57" t="s">
        <v>1219</v>
      </c>
      <c r="N202" t="s">
        <v>1303</v>
      </c>
      <c r="X202" t="str">
        <f>_xlfn.XLOOKUP(Y202,master!M:M,master!L:L)</f>
        <v>FOUR_ACES_B2B</v>
      </c>
      <c r="Y202" t="s">
        <v>1184</v>
      </c>
      <c r="Z202" s="1">
        <v>6145</v>
      </c>
      <c r="AA202" s="1">
        <v>96650</v>
      </c>
      <c r="AB202">
        <f>COUNTIFS(Base!$C:$C,MAPPING!X202)</f>
        <v>1</v>
      </c>
    </row>
    <row r="203" spans="3:28" x14ac:dyDescent="0.35">
      <c r="C203" t="s">
        <v>599</v>
      </c>
      <c r="D203" t="s">
        <v>49</v>
      </c>
      <c r="F203" t="s">
        <v>599</v>
      </c>
      <c r="G203" t="s">
        <v>49</v>
      </c>
      <c r="K203" s="57" t="s">
        <v>615</v>
      </c>
      <c r="L203" s="57" t="s">
        <v>205</v>
      </c>
      <c r="M203" s="57" t="s">
        <v>836</v>
      </c>
      <c r="N203" t="s">
        <v>1294</v>
      </c>
      <c r="X203" t="str">
        <f>_xlfn.XLOOKUP(Y203,master!M:M,master!L:L)</f>
        <v>FREECULTR_B2B</v>
      </c>
      <c r="Y203" t="s">
        <v>1385</v>
      </c>
      <c r="Z203" s="1">
        <v>3989</v>
      </c>
      <c r="AA203" s="1">
        <v>115162</v>
      </c>
      <c r="AB203">
        <f>COUNTIFS(Base!$C:$C,MAPPING!X203)</f>
        <v>1</v>
      </c>
    </row>
    <row r="204" spans="3:28" x14ac:dyDescent="0.35">
      <c r="C204" t="s">
        <v>600</v>
      </c>
      <c r="D204" t="s">
        <v>182</v>
      </c>
      <c r="F204" t="s">
        <v>600</v>
      </c>
      <c r="G204" t="s">
        <v>182</v>
      </c>
      <c r="K204" s="57" t="s">
        <v>748</v>
      </c>
      <c r="L204" s="57" t="s">
        <v>349</v>
      </c>
      <c r="M204" s="57" t="s">
        <v>837</v>
      </c>
      <c r="N204" t="s">
        <v>1310</v>
      </c>
      <c r="X204" t="str">
        <f>_xlfn.XLOOKUP(Y204,master!M:M,master!L:L)</f>
        <v>KONEXSPORTS_B2B</v>
      </c>
      <c r="Y204" t="s">
        <v>172</v>
      </c>
      <c r="Z204" s="1">
        <v>2028</v>
      </c>
      <c r="AA204" s="1">
        <v>31105</v>
      </c>
      <c r="AB204">
        <f>COUNTIFS(Base!$C:$C,MAPPING!X204)</f>
        <v>1</v>
      </c>
    </row>
    <row r="205" spans="3:28" x14ac:dyDescent="0.35">
      <c r="C205" t="s">
        <v>601</v>
      </c>
      <c r="D205" t="s">
        <v>152</v>
      </c>
      <c r="F205" t="s">
        <v>601</v>
      </c>
      <c r="G205" t="s">
        <v>152</v>
      </c>
      <c r="K205" s="57" t="s">
        <v>1126</v>
      </c>
      <c r="L205" s="57" t="s">
        <v>1177</v>
      </c>
      <c r="M205" s="57" t="s">
        <v>1219</v>
      </c>
      <c r="N205" t="s">
        <v>1309</v>
      </c>
      <c r="X205" t="str">
        <f>_xlfn.XLOOKUP(Y205,master!M:M,master!L:L)</f>
        <v>BATA_B2B</v>
      </c>
      <c r="Y205" t="s">
        <v>35</v>
      </c>
      <c r="Z205" s="1">
        <v>98230</v>
      </c>
      <c r="AA205" s="1">
        <v>595525</v>
      </c>
      <c r="AB205">
        <f>COUNTIFS(Base!$C:$C,MAPPING!X205)</f>
        <v>1</v>
      </c>
    </row>
    <row r="206" spans="3:28" x14ac:dyDescent="0.35">
      <c r="C206" t="s">
        <v>602</v>
      </c>
      <c r="D206" t="s">
        <v>156</v>
      </c>
      <c r="F206" t="s">
        <v>602</v>
      </c>
      <c r="G206" t="s">
        <v>156</v>
      </c>
      <c r="K206" s="57" t="s">
        <v>885</v>
      </c>
      <c r="L206" s="57" t="s">
        <v>886</v>
      </c>
      <c r="M206" s="57" t="s">
        <v>976</v>
      </c>
      <c r="N206" t="s">
        <v>1328</v>
      </c>
      <c r="X206" t="str">
        <f>_xlfn.XLOOKUP(Y206,master!M:M,master!L:L)</f>
        <v>MFOR_MILLET_B2B</v>
      </c>
      <c r="Y206" t="s">
        <v>1360</v>
      </c>
      <c r="Z206" s="1">
        <v>8489</v>
      </c>
      <c r="AA206" s="1">
        <v>81917</v>
      </c>
      <c r="AB206">
        <f>COUNTIFS(Base!$C:$C,MAPPING!X206)</f>
        <v>1</v>
      </c>
    </row>
    <row r="207" spans="3:28" x14ac:dyDescent="0.35">
      <c r="C207" t="s">
        <v>603</v>
      </c>
      <c r="D207" t="s">
        <v>257</v>
      </c>
      <c r="F207" t="s">
        <v>603</v>
      </c>
      <c r="G207" t="s">
        <v>257</v>
      </c>
      <c r="K207" s="57" t="s">
        <v>404</v>
      </c>
      <c r="L207" s="57" t="s">
        <v>44</v>
      </c>
      <c r="M207" s="57" t="s">
        <v>1061</v>
      </c>
      <c r="N207" t="s">
        <v>1409</v>
      </c>
      <c r="X207" t="str">
        <f>_xlfn.XLOOKUP(Y207,[1]rpk!$B:$B,[1]rpk!$A:$A)</f>
        <v>JUPITER_LAMINATORS_B2B</v>
      </c>
      <c r="Y207" t="s">
        <v>1588</v>
      </c>
      <c r="Z207" s="1">
        <v>75506</v>
      </c>
      <c r="AA207" s="1">
        <v>724199</v>
      </c>
      <c r="AB207">
        <f>COUNTIFS(Base!$C:$C,MAPPING!X207)</f>
        <v>1</v>
      </c>
    </row>
    <row r="208" spans="3:28" x14ac:dyDescent="0.35">
      <c r="C208" t="s">
        <v>604</v>
      </c>
      <c r="D208" t="s">
        <v>167</v>
      </c>
      <c r="F208" t="s">
        <v>604</v>
      </c>
      <c r="G208" t="s">
        <v>167</v>
      </c>
      <c r="K208" s="57" t="s">
        <v>1127</v>
      </c>
      <c r="L208" s="57" t="s">
        <v>1167</v>
      </c>
      <c r="M208" s="57" t="s">
        <v>1219</v>
      </c>
      <c r="N208" t="s">
        <v>1287</v>
      </c>
      <c r="X208" t="str">
        <f>_xlfn.XLOOKUP(Y208,[1]rpk!$B:$B,[1]rpk!$A:$A)</f>
        <v>WAREIQ_B2B</v>
      </c>
      <c r="Y208" t="s">
        <v>1549</v>
      </c>
      <c r="Z208" s="1">
        <v>12993</v>
      </c>
      <c r="AA208" s="1">
        <v>229525</v>
      </c>
      <c r="AB208">
        <f>COUNTIFS(Base!$C:$C,MAPPING!X208)</f>
        <v>1</v>
      </c>
    </row>
    <row r="209" spans="3:28" x14ac:dyDescent="0.35">
      <c r="C209" t="s">
        <v>605</v>
      </c>
      <c r="D209" t="s">
        <v>276</v>
      </c>
      <c r="F209" t="s">
        <v>605</v>
      </c>
      <c r="G209" t="s">
        <v>276</v>
      </c>
      <c r="K209" s="57" t="s">
        <v>1149</v>
      </c>
      <c r="L209" s="57" t="s">
        <v>891</v>
      </c>
      <c r="M209" s="57" t="s">
        <v>1061</v>
      </c>
      <c r="N209" t="s">
        <v>1302</v>
      </c>
      <c r="X209" t="str">
        <f>_xlfn.XLOOKUP(Y209,master!M:M,master!L:L)</f>
        <v>PINPOINT_SALES_LLP</v>
      </c>
      <c r="Y209" t="s">
        <v>102</v>
      </c>
      <c r="Z209" s="1">
        <v>2579</v>
      </c>
      <c r="AA209" s="1">
        <v>47228</v>
      </c>
      <c r="AB209">
        <f>COUNTIFS(Base!$C:$C,MAPPING!X209)</f>
        <v>1</v>
      </c>
    </row>
    <row r="210" spans="3:28" x14ac:dyDescent="0.35">
      <c r="C210" t="s">
        <v>606</v>
      </c>
      <c r="D210" t="s">
        <v>173</v>
      </c>
      <c r="F210" t="s">
        <v>606</v>
      </c>
      <c r="G210" t="s">
        <v>173</v>
      </c>
      <c r="K210" s="57" t="s">
        <v>1124</v>
      </c>
      <c r="L210" s="57" t="s">
        <v>1178</v>
      </c>
      <c r="M210" s="57" t="s">
        <v>1219</v>
      </c>
      <c r="N210" t="s">
        <v>1308</v>
      </c>
      <c r="X210" t="str">
        <f>_xlfn.XLOOKUP(Y210,master!M:M,master!L:L)</f>
        <v>MOULSHREE_IMPEX_B2B</v>
      </c>
      <c r="Y210" t="s">
        <v>146</v>
      </c>
      <c r="Z210">
        <v>698</v>
      </c>
      <c r="AA210" s="1">
        <v>32582</v>
      </c>
      <c r="AB210">
        <f>COUNTIFS(Base!$C:$C,MAPPING!X210)</f>
        <v>1</v>
      </c>
    </row>
    <row r="211" spans="3:28" x14ac:dyDescent="0.35">
      <c r="C211" t="s">
        <v>607</v>
      </c>
      <c r="D211" t="s">
        <v>272</v>
      </c>
      <c r="F211" t="s">
        <v>607</v>
      </c>
      <c r="G211" t="s">
        <v>272</v>
      </c>
      <c r="K211" s="57" t="s">
        <v>675</v>
      </c>
      <c r="L211" s="57" t="s">
        <v>104</v>
      </c>
      <c r="M211" s="57" t="s">
        <v>1061</v>
      </c>
      <c r="N211" t="s">
        <v>1297</v>
      </c>
      <c r="X211" t="str">
        <f>_xlfn.XLOOKUP(Y211,master!M:M,master!L:L)</f>
        <v>Kotty_B2B</v>
      </c>
      <c r="Y211" t="s">
        <v>47</v>
      </c>
      <c r="Z211" s="1">
        <v>6850</v>
      </c>
      <c r="AA211" s="1">
        <v>113193</v>
      </c>
      <c r="AB211">
        <f>COUNTIFS(Base!$C:$C,MAPPING!X211)</f>
        <v>1</v>
      </c>
    </row>
    <row r="212" spans="3:28" x14ac:dyDescent="0.35">
      <c r="C212" t="s">
        <v>608</v>
      </c>
      <c r="D212" t="s">
        <v>78</v>
      </c>
      <c r="F212" t="s">
        <v>608</v>
      </c>
      <c r="G212" t="s">
        <v>78</v>
      </c>
      <c r="K212" s="57" t="s">
        <v>1147</v>
      </c>
      <c r="L212" s="57" t="s">
        <v>1251</v>
      </c>
      <c r="M212" s="57" t="s">
        <v>1219</v>
      </c>
      <c r="N212" t="s">
        <v>1283</v>
      </c>
      <c r="X212" t="str">
        <f>_xlfn.XLOOKUP(Y212,master!M:M,master!L:L)</f>
        <v>RATAN_B2B</v>
      </c>
      <c r="Y212" t="s">
        <v>133</v>
      </c>
      <c r="Z212" s="1">
        <v>2973</v>
      </c>
      <c r="AA212" s="1">
        <v>37006</v>
      </c>
      <c r="AB212">
        <f>COUNTIFS(Base!$C:$C,MAPPING!X212)</f>
        <v>1</v>
      </c>
    </row>
    <row r="213" spans="3:28" x14ac:dyDescent="0.35">
      <c r="C213" t="s">
        <v>609</v>
      </c>
      <c r="D213" t="s">
        <v>277</v>
      </c>
      <c r="F213" t="s">
        <v>609</v>
      </c>
      <c r="G213" t="s">
        <v>277</v>
      </c>
      <c r="K213" s="57" t="s">
        <v>680</v>
      </c>
      <c r="L213" s="57" t="s">
        <v>115</v>
      </c>
      <c r="M213" s="57" t="s">
        <v>815</v>
      </c>
      <c r="N213" t="s">
        <v>1289</v>
      </c>
      <c r="X213" t="str">
        <f>_xlfn.XLOOKUP(Y213,master!M:M,master!L:L)</f>
        <v>PARCELIT_B2B</v>
      </c>
      <c r="Y213" t="s">
        <v>262</v>
      </c>
      <c r="Z213" s="1">
        <v>12279</v>
      </c>
      <c r="AA213" s="1">
        <v>158982</v>
      </c>
      <c r="AB213">
        <f>COUNTIFS(Base!$C:$C,MAPPING!X213)</f>
        <v>1</v>
      </c>
    </row>
    <row r="214" spans="3:28" x14ac:dyDescent="0.35">
      <c r="C214" t="s">
        <v>610</v>
      </c>
      <c r="D214" t="s">
        <v>144</v>
      </c>
      <c r="F214" t="s">
        <v>610</v>
      </c>
      <c r="G214" t="s">
        <v>144</v>
      </c>
      <c r="K214" s="57" t="s">
        <v>1252</v>
      </c>
      <c r="L214" s="57" t="s">
        <v>352</v>
      </c>
      <c r="M214" s="57" t="s">
        <v>837</v>
      </c>
      <c r="N214" t="s">
        <v>1297</v>
      </c>
      <c r="X214" t="str">
        <f>_xlfn.XLOOKUP(Y214,[1]rpk!$B:$B,[1]rpk!$A:$A)</f>
        <v>ANNAPURNA_IMPEX_B2B</v>
      </c>
      <c r="Y214" t="s">
        <v>276</v>
      </c>
      <c r="Z214" s="1">
        <v>7485</v>
      </c>
      <c r="AA214" s="1">
        <v>117092</v>
      </c>
      <c r="AB214">
        <f>COUNTIFS(Base!$C:$C,MAPPING!X214)</f>
        <v>1</v>
      </c>
    </row>
    <row r="215" spans="3:28" x14ac:dyDescent="0.35">
      <c r="C215" t="s">
        <v>611</v>
      </c>
      <c r="D215" t="s">
        <v>108</v>
      </c>
      <c r="F215" t="s">
        <v>611</v>
      </c>
      <c r="G215" t="s">
        <v>108</v>
      </c>
      <c r="K215" s="57" t="s">
        <v>692</v>
      </c>
      <c r="L215" s="57" t="s">
        <v>133</v>
      </c>
      <c r="M215" s="57" t="s">
        <v>822</v>
      </c>
      <c r="N215" t="s">
        <v>1299</v>
      </c>
      <c r="X215" t="str">
        <f>_xlfn.XLOOKUP(Y215,master!M:M,master!L:L)</f>
        <v>ECOVERVA_B2B</v>
      </c>
      <c r="Y215" t="s">
        <v>1197</v>
      </c>
      <c r="Z215" s="1">
        <v>5492</v>
      </c>
      <c r="AA215" s="1">
        <v>58989</v>
      </c>
      <c r="AB215">
        <f>COUNTIFS(Base!$C:$C,MAPPING!X215)</f>
        <v>1</v>
      </c>
    </row>
    <row r="216" spans="3:28" x14ac:dyDescent="0.35">
      <c r="C216" t="s">
        <v>612</v>
      </c>
      <c r="D216" t="s">
        <v>143</v>
      </c>
      <c r="F216" t="s">
        <v>612</v>
      </c>
      <c r="G216" t="s">
        <v>143</v>
      </c>
      <c r="K216" s="57" t="s">
        <v>1145</v>
      </c>
      <c r="L216" s="57" t="s">
        <v>1180</v>
      </c>
      <c r="M216" s="57" t="s">
        <v>1219</v>
      </c>
      <c r="N216" t="s">
        <v>1301</v>
      </c>
      <c r="X216" t="str">
        <f>_xlfn.XLOOKUP(Y216,master!M:M,master!L:L)</f>
        <v>BHAIRAVNATH_IMPEX_B2B</v>
      </c>
      <c r="Y216" t="s">
        <v>38</v>
      </c>
      <c r="Z216" s="1">
        <v>2007</v>
      </c>
      <c r="AA216" s="1">
        <v>36774</v>
      </c>
      <c r="AB216">
        <f>COUNTIFS(Base!$C:$C,MAPPING!X216)</f>
        <v>1</v>
      </c>
    </row>
    <row r="217" spans="3:28" x14ac:dyDescent="0.35">
      <c r="C217" t="s">
        <v>613</v>
      </c>
      <c r="D217" t="s">
        <v>66</v>
      </c>
      <c r="F217" t="s">
        <v>613</v>
      </c>
      <c r="G217" t="s">
        <v>66</v>
      </c>
      <c r="K217" s="57" t="s">
        <v>1135</v>
      </c>
      <c r="L217" s="57" t="s">
        <v>1181</v>
      </c>
      <c r="M217" s="57" t="s">
        <v>1219</v>
      </c>
      <c r="N217" t="s">
        <v>1288</v>
      </c>
      <c r="X217" t="str">
        <f>_xlfn.XLOOKUP(Y217,master!M:M,master!L:L)</f>
        <v>CJ_DARCL_CERAGEM_B2B</v>
      </c>
      <c r="Y217" t="s">
        <v>890</v>
      </c>
      <c r="Z217">
        <v>923</v>
      </c>
      <c r="AA217" s="1">
        <v>21342</v>
      </c>
      <c r="AB217">
        <f>COUNTIFS(Base!$C:$C,MAPPING!X217)</f>
        <v>1</v>
      </c>
    </row>
    <row r="218" spans="3:28" x14ac:dyDescent="0.35">
      <c r="C218" t="s">
        <v>614</v>
      </c>
      <c r="D218" t="s">
        <v>29</v>
      </c>
      <c r="F218" t="s">
        <v>614</v>
      </c>
      <c r="G218" t="s">
        <v>29</v>
      </c>
      <c r="K218" s="57" t="s">
        <v>609</v>
      </c>
      <c r="L218" s="57" t="s">
        <v>277</v>
      </c>
      <c r="M218" s="57" t="s">
        <v>828</v>
      </c>
      <c r="N218" t="s">
        <v>1312</v>
      </c>
      <c r="X218" t="str">
        <f>_xlfn.XLOOKUP(Y218,master!M:M,master!L:L)</f>
        <v>INDIEJEWEL_B2B</v>
      </c>
      <c r="Y218" t="s">
        <v>95</v>
      </c>
      <c r="Z218">
        <v>162</v>
      </c>
      <c r="AA218" s="1">
        <v>15686</v>
      </c>
      <c r="AB218">
        <f>COUNTIFS(Base!$C:$C,MAPPING!X218)</f>
        <v>1</v>
      </c>
    </row>
    <row r="219" spans="3:28" x14ac:dyDescent="0.35">
      <c r="C219" t="s">
        <v>615</v>
      </c>
      <c r="D219" t="s">
        <v>205</v>
      </c>
      <c r="F219" t="s">
        <v>615</v>
      </c>
      <c r="G219" t="s">
        <v>205</v>
      </c>
      <c r="K219" s="57" t="s">
        <v>928</v>
      </c>
      <c r="L219" s="57" t="s">
        <v>929</v>
      </c>
      <c r="M219" s="57" t="s">
        <v>976</v>
      </c>
      <c r="N219" t="s">
        <v>1328</v>
      </c>
      <c r="X219" t="str">
        <f>_xlfn.XLOOKUP(Y219,[1]rpk!$B:$B,[1]rpk!$A:$A)</f>
        <v>AMITOJE_B2B</v>
      </c>
      <c r="Y219" t="s">
        <v>1565</v>
      </c>
      <c r="Z219" s="1">
        <v>4584</v>
      </c>
      <c r="AA219" s="1">
        <v>47511</v>
      </c>
      <c r="AB219">
        <f>COUNTIFS(Base!$C:$C,MAPPING!X219)</f>
        <v>1</v>
      </c>
    </row>
    <row r="220" spans="3:28" x14ac:dyDescent="0.35">
      <c r="C220" t="s">
        <v>616</v>
      </c>
      <c r="D220" t="s">
        <v>74</v>
      </c>
      <c r="F220" t="s">
        <v>616</v>
      </c>
      <c r="G220" t="s">
        <v>74</v>
      </c>
      <c r="K220" s="57" t="s">
        <v>637</v>
      </c>
      <c r="L220" s="57" t="s">
        <v>149</v>
      </c>
      <c r="M220" s="57" t="s">
        <v>821</v>
      </c>
      <c r="N220" t="s">
        <v>1289</v>
      </c>
      <c r="X220" t="str">
        <f>_xlfn.XLOOKUP(Y220,master!M:M,master!L:L)</f>
        <v>ASHANA_B2B</v>
      </c>
      <c r="Y220" t="s">
        <v>127</v>
      </c>
      <c r="Z220">
        <v>16</v>
      </c>
      <c r="AA220">
        <v>420</v>
      </c>
      <c r="AB220">
        <f>COUNTIFS(Base!$C:$C,MAPPING!X220)</f>
        <v>1</v>
      </c>
    </row>
    <row r="221" spans="3:28" x14ac:dyDescent="0.35">
      <c r="C221" t="s">
        <v>617</v>
      </c>
      <c r="D221" t="s">
        <v>265</v>
      </c>
      <c r="F221" t="s">
        <v>617</v>
      </c>
      <c r="G221" t="s">
        <v>265</v>
      </c>
      <c r="K221" s="57" t="s">
        <v>1253</v>
      </c>
      <c r="L221" s="57" t="s">
        <v>890</v>
      </c>
      <c r="M221" s="57" t="s">
        <v>976</v>
      </c>
      <c r="N221" t="s">
        <v>1283</v>
      </c>
      <c r="X221" t="str">
        <f>_xlfn.XLOOKUP(Y221,master!M:M,master!L:L)</f>
        <v>INDO_COUNT_B2B</v>
      </c>
      <c r="Y221" t="s">
        <v>105</v>
      </c>
      <c r="Z221" s="1">
        <v>6064</v>
      </c>
      <c r="AA221" s="1">
        <v>67787</v>
      </c>
      <c r="AB221">
        <f>COUNTIFS(Base!$C:$C,MAPPING!X221)</f>
        <v>1</v>
      </c>
    </row>
    <row r="222" spans="3:28" x14ac:dyDescent="0.35">
      <c r="C222" t="s">
        <v>618</v>
      </c>
      <c r="D222" t="s">
        <v>302</v>
      </c>
      <c r="F222" t="s">
        <v>618</v>
      </c>
      <c r="G222" t="s">
        <v>302</v>
      </c>
      <c r="K222" s="57" t="s">
        <v>530</v>
      </c>
      <c r="L222" s="57" t="s">
        <v>345</v>
      </c>
      <c r="M222" s="57" t="s">
        <v>835</v>
      </c>
      <c r="N222" t="s">
        <v>1062</v>
      </c>
      <c r="X222" t="str">
        <f>_xlfn.XLOOKUP(Y222,master!M:M,master!L:L)</f>
        <v>KUNAL_PRINTS_B2B</v>
      </c>
      <c r="Y222" t="s">
        <v>915</v>
      </c>
      <c r="Z222" s="1">
        <v>1498</v>
      </c>
      <c r="AA222" s="1">
        <v>22587</v>
      </c>
      <c r="AB222">
        <f>COUNTIFS(Base!$C:$C,MAPPING!X222)</f>
        <v>1</v>
      </c>
    </row>
    <row r="223" spans="3:28" x14ac:dyDescent="0.35">
      <c r="C223" t="s">
        <v>619</v>
      </c>
      <c r="D223" t="s">
        <v>71</v>
      </c>
      <c r="F223" t="s">
        <v>619</v>
      </c>
      <c r="G223" t="s">
        <v>71</v>
      </c>
      <c r="K223" s="57" t="s">
        <v>1105</v>
      </c>
      <c r="L223" s="57" t="s">
        <v>1182</v>
      </c>
      <c r="M223" s="57" t="s">
        <v>1219</v>
      </c>
      <c r="N223" t="s">
        <v>1283</v>
      </c>
      <c r="X223" t="str">
        <f>_xlfn.XLOOKUP(Y223,master!M:M,master!L:L)</f>
        <v>ARSH_EXPRESS_B2B</v>
      </c>
      <c r="Y223" t="s">
        <v>1340</v>
      </c>
      <c r="Z223" s="1">
        <v>9214</v>
      </c>
      <c r="AA223" s="1">
        <v>94639</v>
      </c>
      <c r="AB223">
        <f>COUNTIFS(Base!$C:$C,MAPPING!X223)</f>
        <v>1</v>
      </c>
    </row>
    <row r="224" spans="3:28" x14ac:dyDescent="0.35">
      <c r="C224" t="s">
        <v>620</v>
      </c>
      <c r="D224" t="s">
        <v>21</v>
      </c>
      <c r="F224" t="s">
        <v>620</v>
      </c>
      <c r="G224" t="s">
        <v>21</v>
      </c>
      <c r="K224" s="57" t="s">
        <v>1136</v>
      </c>
      <c r="L224" s="57" t="s">
        <v>1183</v>
      </c>
      <c r="M224" s="57" t="s">
        <v>1219</v>
      </c>
      <c r="N224" t="s">
        <v>1288</v>
      </c>
      <c r="X224" t="str">
        <f>_xlfn.XLOOKUP(Y224,master!M:M,master!L:L)</f>
        <v>GAARVI_B2B</v>
      </c>
      <c r="Y224" t="s">
        <v>1171</v>
      </c>
      <c r="Z224" s="1">
        <v>16419</v>
      </c>
      <c r="AA224" s="1">
        <v>200302</v>
      </c>
      <c r="AB224">
        <f>COUNTIFS(Base!$C:$C,MAPPING!X224)</f>
        <v>1</v>
      </c>
    </row>
    <row r="225" spans="3:28" x14ac:dyDescent="0.35">
      <c r="C225" t="s">
        <v>621</v>
      </c>
      <c r="D225" t="s">
        <v>26</v>
      </c>
      <c r="F225" t="s">
        <v>621</v>
      </c>
      <c r="G225" t="s">
        <v>26</v>
      </c>
      <c r="K225" s="57" t="s">
        <v>590</v>
      </c>
      <c r="L225" s="57" t="s">
        <v>128</v>
      </c>
      <c r="M225" s="57" t="s">
        <v>829</v>
      </c>
      <c r="N225" t="s">
        <v>1297</v>
      </c>
      <c r="X225" t="str">
        <f>_xlfn.XLOOKUP(Y225,master!M:M,master!L:L)</f>
        <v>ORNAWARE_B2B</v>
      </c>
      <c r="Y225" t="s">
        <v>929</v>
      </c>
      <c r="Z225" s="1">
        <v>5024</v>
      </c>
      <c r="AA225" s="1">
        <v>65698</v>
      </c>
      <c r="AB225">
        <f>COUNTIFS(Base!$C:$C,MAPPING!X225)</f>
        <v>1</v>
      </c>
    </row>
    <row r="226" spans="3:28" x14ac:dyDescent="0.35">
      <c r="C226" t="s">
        <v>622</v>
      </c>
      <c r="D226" t="s">
        <v>184</v>
      </c>
      <c r="F226" t="s">
        <v>622</v>
      </c>
      <c r="G226" t="s">
        <v>184</v>
      </c>
      <c r="K226" s="57" t="s">
        <v>730</v>
      </c>
      <c r="L226" s="57" t="s">
        <v>303</v>
      </c>
      <c r="M226" s="57" t="s">
        <v>828</v>
      </c>
      <c r="N226" t="s">
        <v>1303</v>
      </c>
      <c r="X226" t="str">
        <f>_xlfn.XLOOKUP(Y226,[1]rpk!$B:$B,[1]rpk!$A:$A)</f>
        <v>JET_GLOBAL_B2B</v>
      </c>
      <c r="Y226" t="s">
        <v>1745</v>
      </c>
      <c r="Z226">
        <v>527</v>
      </c>
      <c r="AA226" s="1">
        <v>10752</v>
      </c>
      <c r="AB226">
        <f>COUNTIFS(Base!$C:$C,MAPPING!X226)</f>
        <v>1</v>
      </c>
    </row>
    <row r="227" spans="3:28" x14ac:dyDescent="0.35">
      <c r="C227" t="s">
        <v>623</v>
      </c>
      <c r="D227" t="s">
        <v>157</v>
      </c>
      <c r="F227" t="s">
        <v>623</v>
      </c>
      <c r="G227" t="s">
        <v>157</v>
      </c>
      <c r="K227" s="57" t="s">
        <v>519</v>
      </c>
      <c r="L227" s="57" t="s">
        <v>1254</v>
      </c>
      <c r="M227" s="57" t="s">
        <v>834</v>
      </c>
      <c r="N227" t="s">
        <v>1287</v>
      </c>
      <c r="X227" t="str">
        <f>_xlfn.XLOOKUP(Y227,master!M:M,master!L:L)</f>
        <v>CARGOWALE_B2B</v>
      </c>
      <c r="Y227" t="s">
        <v>140</v>
      </c>
      <c r="Z227">
        <v>270</v>
      </c>
      <c r="AA227" s="1">
        <v>33556</v>
      </c>
      <c r="AB227">
        <f>COUNTIFS(Base!$C:$C,MAPPING!X227)</f>
        <v>1</v>
      </c>
    </row>
    <row r="228" spans="3:28" x14ac:dyDescent="0.35">
      <c r="C228" t="s">
        <v>624</v>
      </c>
      <c r="D228" t="s">
        <v>106</v>
      </c>
      <c r="F228" t="s">
        <v>624</v>
      </c>
      <c r="G228" t="s">
        <v>106</v>
      </c>
      <c r="K228" s="57" t="s">
        <v>1080</v>
      </c>
      <c r="L228" s="57" t="s">
        <v>1184</v>
      </c>
      <c r="M228" s="57" t="s">
        <v>976</v>
      </c>
      <c r="N228" t="s">
        <v>1287</v>
      </c>
      <c r="X228" t="str">
        <f>_xlfn.XLOOKUP(Y228,[1]rpk!$B:$B,[1]rpk!$A:$A)</f>
        <v>HEALTHIUM_B2B</v>
      </c>
      <c r="Y228" t="s">
        <v>1580</v>
      </c>
      <c r="Z228" s="1">
        <v>16646</v>
      </c>
      <c r="AA228" s="1">
        <v>147135</v>
      </c>
      <c r="AB228">
        <f>COUNTIFS(Base!$C:$C,MAPPING!X228)</f>
        <v>1</v>
      </c>
    </row>
    <row r="229" spans="3:28" x14ac:dyDescent="0.35">
      <c r="C229" t="s">
        <v>625</v>
      </c>
      <c r="D229" t="s">
        <v>51</v>
      </c>
      <c r="F229" t="s">
        <v>625</v>
      </c>
      <c r="G229" t="s">
        <v>51</v>
      </c>
      <c r="K229" s="57" t="s">
        <v>902</v>
      </c>
      <c r="L229" s="57" t="s">
        <v>903</v>
      </c>
      <c r="M229" s="57" t="s">
        <v>976</v>
      </c>
      <c r="N229" t="s">
        <v>1300</v>
      </c>
      <c r="X229" t="str">
        <f>_xlfn.XLOOKUP(Y229,[1]rpk!$B:$B,[1]rpk!$A:$A)</f>
        <v>TURTLE_B2B</v>
      </c>
      <c r="Y229" t="s">
        <v>1746</v>
      </c>
      <c r="Z229" s="1">
        <v>128252</v>
      </c>
      <c r="AA229" s="1">
        <v>1180349</v>
      </c>
      <c r="AB229">
        <f>COUNTIFS(Base!$C:$C,MAPPING!X229)</f>
        <v>1</v>
      </c>
    </row>
    <row r="230" spans="3:28" x14ac:dyDescent="0.35">
      <c r="C230" t="s">
        <v>626</v>
      </c>
      <c r="D230" t="s">
        <v>318</v>
      </c>
      <c r="F230" t="s">
        <v>626</v>
      </c>
      <c r="G230" t="s">
        <v>318</v>
      </c>
      <c r="K230" s="57" t="s">
        <v>1255</v>
      </c>
      <c r="L230" s="57" t="s">
        <v>352</v>
      </c>
      <c r="M230" s="57" t="s">
        <v>837</v>
      </c>
      <c r="N230" t="s">
        <v>1297</v>
      </c>
      <c r="X230" t="str">
        <f>_xlfn.XLOOKUP(Y230,master!M:M,master!L:L)</f>
        <v>TAPFIT_LIFESTYLES_B2B</v>
      </c>
      <c r="Y230" t="s">
        <v>1380</v>
      </c>
      <c r="Z230" s="1">
        <v>4309</v>
      </c>
      <c r="AA230" s="1">
        <v>59246</v>
      </c>
      <c r="AB230">
        <f>COUNTIFS(Base!$C:$C,MAPPING!X230)</f>
        <v>1</v>
      </c>
    </row>
    <row r="231" spans="3:28" x14ac:dyDescent="0.35">
      <c r="C231" t="s">
        <v>627</v>
      </c>
      <c r="D231" t="s">
        <v>267</v>
      </c>
      <c r="F231" t="s">
        <v>627</v>
      </c>
      <c r="G231" t="s">
        <v>267</v>
      </c>
      <c r="K231" s="57" t="s">
        <v>777</v>
      </c>
      <c r="L231" s="57" t="s">
        <v>379</v>
      </c>
      <c r="M231" s="57" t="s">
        <v>837</v>
      </c>
      <c r="N231" t="s">
        <v>1294</v>
      </c>
      <c r="X231" t="str">
        <f>_xlfn.XLOOKUP(Y231,master!M:M,master!L:L)</f>
        <v>TENSOR_LOGISTICS_B2B</v>
      </c>
      <c r="Y231" t="s">
        <v>170</v>
      </c>
      <c r="Z231">
        <v>363</v>
      </c>
      <c r="AA231" s="1">
        <v>11335</v>
      </c>
      <c r="AB231">
        <f>COUNTIFS(Base!$C:$C,MAPPING!X231)</f>
        <v>1</v>
      </c>
    </row>
    <row r="232" spans="3:28" x14ac:dyDescent="0.35">
      <c r="C232" t="s">
        <v>628</v>
      </c>
      <c r="D232" t="s">
        <v>148</v>
      </c>
      <c r="F232" t="s">
        <v>628</v>
      </c>
      <c r="G232" t="s">
        <v>148</v>
      </c>
      <c r="K232" s="57" t="s">
        <v>922</v>
      </c>
      <c r="L232" s="57" t="s">
        <v>923</v>
      </c>
      <c r="M232" s="57" t="s">
        <v>976</v>
      </c>
      <c r="N232" t="s">
        <v>1310</v>
      </c>
      <c r="X232" t="str">
        <f>_xlfn.XLOOKUP(Y232,master!M:M,master!L:L)</f>
        <v>Shipclues_B2B</v>
      </c>
      <c r="Y232" t="s">
        <v>179</v>
      </c>
      <c r="Z232">
        <v>815</v>
      </c>
      <c r="AA232" s="1">
        <v>18910</v>
      </c>
      <c r="AB232">
        <f>COUNTIFS(Base!$C:$C,MAPPING!X232)</f>
        <v>1</v>
      </c>
    </row>
    <row r="233" spans="3:28" x14ac:dyDescent="0.35">
      <c r="C233" t="s">
        <v>629</v>
      </c>
      <c r="D233" t="s">
        <v>260</v>
      </c>
      <c r="F233" t="s">
        <v>629</v>
      </c>
      <c r="G233" t="s">
        <v>260</v>
      </c>
      <c r="K233" s="57" t="s">
        <v>528</v>
      </c>
      <c r="L233" s="57" t="s">
        <v>136</v>
      </c>
      <c r="M233" s="57" t="s">
        <v>1221</v>
      </c>
      <c r="N233" t="s">
        <v>1297</v>
      </c>
      <c r="X233" t="str">
        <f>_xlfn.XLOOKUP(Y233,[1]rpk!$B:$B,[1]rpk!$A:$A)</f>
        <v>SILVER_LEAF_B2B</v>
      </c>
      <c r="Y233" t="s">
        <v>1578</v>
      </c>
      <c r="Z233" s="1">
        <v>1581</v>
      </c>
      <c r="AA233" s="1">
        <v>16009</v>
      </c>
      <c r="AB233">
        <f>COUNTIFS(Base!$C:$C,MAPPING!X233)</f>
        <v>1</v>
      </c>
    </row>
    <row r="234" spans="3:28" x14ac:dyDescent="0.35">
      <c r="C234" t="s">
        <v>630</v>
      </c>
      <c r="D234" t="s">
        <v>221</v>
      </c>
      <c r="F234" t="s">
        <v>630</v>
      </c>
      <c r="G234" t="s">
        <v>221</v>
      </c>
      <c r="K234" s="57" t="s">
        <v>702</v>
      </c>
      <c r="L234" s="57" t="s">
        <v>159</v>
      </c>
      <c r="M234" s="57" t="s">
        <v>810</v>
      </c>
      <c r="N234" t="s">
        <v>1300</v>
      </c>
      <c r="X234" t="str">
        <f>_xlfn.XLOOKUP(Y234,master!M:M,master!L:L)</f>
        <v>BIGHUB_B2B</v>
      </c>
      <c r="Y234" t="s">
        <v>1344</v>
      </c>
      <c r="Z234" s="1">
        <v>1543</v>
      </c>
      <c r="AA234" s="1">
        <v>18111</v>
      </c>
      <c r="AB234">
        <f>COUNTIFS(Base!$C:$C,MAPPING!X234)</f>
        <v>1</v>
      </c>
    </row>
    <row r="235" spans="3:28" x14ac:dyDescent="0.35">
      <c r="C235" t="s">
        <v>631</v>
      </c>
      <c r="D235" t="s">
        <v>70</v>
      </c>
      <c r="F235" t="s">
        <v>631</v>
      </c>
      <c r="G235" t="s">
        <v>70</v>
      </c>
      <c r="K235" s="57" t="s">
        <v>667</v>
      </c>
      <c r="L235" s="57" t="s">
        <v>80</v>
      </c>
      <c r="M235" s="57" t="s">
        <v>822</v>
      </c>
      <c r="N235" t="s">
        <v>1282</v>
      </c>
      <c r="X235" t="str">
        <f>_xlfn.XLOOKUP(Y235,master!M:M,master!L:L)</f>
        <v>OM_INTERNATIOPNAL_B2B</v>
      </c>
      <c r="Y235" t="s">
        <v>175</v>
      </c>
      <c r="Z235" s="1">
        <v>4250</v>
      </c>
      <c r="AA235" s="1">
        <v>55200</v>
      </c>
      <c r="AB235">
        <f>COUNTIFS(Base!$C:$C,MAPPING!X235)</f>
        <v>1</v>
      </c>
    </row>
    <row r="236" spans="3:28" x14ac:dyDescent="0.35">
      <c r="C236" t="s">
        <v>632</v>
      </c>
      <c r="D236" t="s">
        <v>305</v>
      </c>
      <c r="F236" t="s">
        <v>632</v>
      </c>
      <c r="G236" t="s">
        <v>305</v>
      </c>
      <c r="K236" s="57" t="s">
        <v>962</v>
      </c>
      <c r="L236" s="57" t="s">
        <v>963</v>
      </c>
      <c r="M236" s="57" t="s">
        <v>976</v>
      </c>
      <c r="N236" t="s">
        <v>1289</v>
      </c>
      <c r="X236" t="str">
        <f>_xlfn.XLOOKUP(Y236,master!M:M,master!L:L)</f>
        <v>GRAND_SPEED_B2B</v>
      </c>
      <c r="Y236" t="s">
        <v>1174</v>
      </c>
      <c r="Z236">
        <v>746</v>
      </c>
      <c r="AA236" s="1">
        <v>7845</v>
      </c>
      <c r="AB236">
        <f>COUNTIFS(Base!$C:$C,MAPPING!X236)</f>
        <v>1</v>
      </c>
    </row>
    <row r="237" spans="3:28" x14ac:dyDescent="0.35">
      <c r="C237" t="s">
        <v>633</v>
      </c>
      <c r="D237" t="s">
        <v>84</v>
      </c>
      <c r="F237" t="s">
        <v>633</v>
      </c>
      <c r="G237" t="s">
        <v>84</v>
      </c>
      <c r="K237" s="57" t="s">
        <v>1101</v>
      </c>
      <c r="L237" s="57" t="s">
        <v>1185</v>
      </c>
      <c r="M237" s="57" t="s">
        <v>1219</v>
      </c>
      <c r="N237" t="s">
        <v>1329</v>
      </c>
      <c r="X237" t="str">
        <f>_xlfn.XLOOKUP(Y237,master!M:M,master!L:L)</f>
        <v>Echelon_B2B</v>
      </c>
      <c r="Y237" t="s">
        <v>277</v>
      </c>
      <c r="Z237" s="1">
        <v>1040</v>
      </c>
      <c r="AA237" s="1">
        <v>11277</v>
      </c>
      <c r="AB237">
        <f>COUNTIFS(Base!$C:$C,MAPPING!X237)</f>
        <v>1</v>
      </c>
    </row>
    <row r="238" spans="3:28" x14ac:dyDescent="0.35">
      <c r="C238" t="s">
        <v>634</v>
      </c>
      <c r="D238" t="s">
        <v>94</v>
      </c>
      <c r="F238" t="s">
        <v>634</v>
      </c>
      <c r="G238" t="s">
        <v>94</v>
      </c>
      <c r="K238" s="57" t="s">
        <v>1131</v>
      </c>
      <c r="L238" s="57" t="s">
        <v>1186</v>
      </c>
      <c r="M238" s="57" t="s">
        <v>1219</v>
      </c>
      <c r="N238" t="s">
        <v>1288</v>
      </c>
      <c r="X238" t="str">
        <f>_xlfn.XLOOKUP(Y238,master!M:M,master!L:L)</f>
        <v>LIGHTHOUSE_B2B</v>
      </c>
      <c r="Y238" t="s">
        <v>160</v>
      </c>
      <c r="Z238">
        <v>204</v>
      </c>
      <c r="AA238" s="1">
        <v>3076</v>
      </c>
      <c r="AB238">
        <f>COUNTIFS(Base!$C:$C,MAPPING!X238)</f>
        <v>1</v>
      </c>
    </row>
    <row r="239" spans="3:28" x14ac:dyDescent="0.35">
      <c r="C239" t="s">
        <v>635</v>
      </c>
      <c r="D239" t="s">
        <v>125</v>
      </c>
      <c r="F239" t="s">
        <v>635</v>
      </c>
      <c r="G239" t="s">
        <v>125</v>
      </c>
      <c r="K239" s="57" t="s">
        <v>498</v>
      </c>
      <c r="L239" s="57" t="s">
        <v>142</v>
      </c>
      <c r="M239" s="57" t="s">
        <v>1061</v>
      </c>
      <c r="N239" t="s">
        <v>1294</v>
      </c>
      <c r="X239" t="str">
        <f>_xlfn.XLOOKUP(Y239,master!M:M,master!L:L)</f>
        <v>SEOUL_IMPEX_B2B</v>
      </c>
      <c r="Y239" t="s">
        <v>1374</v>
      </c>
      <c r="Z239">
        <v>290</v>
      </c>
      <c r="AA239" s="1">
        <v>3669</v>
      </c>
      <c r="AB239">
        <f>COUNTIFS(Base!$C:$C,MAPPING!X239)</f>
        <v>1</v>
      </c>
    </row>
    <row r="240" spans="3:28" x14ac:dyDescent="0.35">
      <c r="C240" t="s">
        <v>473</v>
      </c>
      <c r="D240" t="s">
        <v>55</v>
      </c>
      <c r="F240" t="s">
        <v>473</v>
      </c>
      <c r="G240" t="s">
        <v>55</v>
      </c>
      <c r="K240" s="57" t="s">
        <v>898</v>
      </c>
      <c r="L240" s="57" t="s">
        <v>899</v>
      </c>
      <c r="M240" s="57" t="s">
        <v>976</v>
      </c>
      <c r="N240" t="s">
        <v>1283</v>
      </c>
      <c r="X240" t="str">
        <f>_xlfn.XLOOKUP(Y240,master!M:M,master!L:L)</f>
        <v>TCE_LOGISTICS_B2B</v>
      </c>
      <c r="Y240" t="s">
        <v>1381</v>
      </c>
      <c r="Z240" s="1">
        <v>1866</v>
      </c>
      <c r="AA240" s="1">
        <v>20664</v>
      </c>
      <c r="AB240">
        <f>COUNTIFS(Base!$C:$C,MAPPING!X240)</f>
        <v>1</v>
      </c>
    </row>
    <row r="241" spans="3:28" x14ac:dyDescent="0.35">
      <c r="C241" t="s">
        <v>597</v>
      </c>
      <c r="D241" t="s">
        <v>153</v>
      </c>
      <c r="F241" t="s">
        <v>597</v>
      </c>
      <c r="G241" t="s">
        <v>153</v>
      </c>
      <c r="K241" s="57" t="s">
        <v>699</v>
      </c>
      <c r="L241" s="57" t="s">
        <v>147</v>
      </c>
      <c r="M241" s="57" t="s">
        <v>819</v>
      </c>
      <c r="N241" t="s">
        <v>1300</v>
      </c>
      <c r="X241" t="str">
        <f>_xlfn.XLOOKUP(Y241,master!M:M,master!L:L)</f>
        <v>SUMUKH_ENTERPRISE_B2B</v>
      </c>
      <c r="Y241" t="s">
        <v>1204</v>
      </c>
      <c r="Z241" s="1">
        <v>3688</v>
      </c>
      <c r="AA241" s="1">
        <v>43177</v>
      </c>
      <c r="AB241">
        <f>COUNTIFS(Base!$C:$C,MAPPING!X241)</f>
        <v>1</v>
      </c>
    </row>
    <row r="242" spans="3:28" x14ac:dyDescent="0.35">
      <c r="C242" t="s">
        <v>636</v>
      </c>
      <c r="D242" t="s">
        <v>31</v>
      </c>
      <c r="F242" t="s">
        <v>636</v>
      </c>
      <c r="G242" t="s">
        <v>31</v>
      </c>
      <c r="K242" s="57" t="s">
        <v>1030</v>
      </c>
      <c r="L242" s="57" t="s">
        <v>158</v>
      </c>
      <c r="M242" s="57" t="s">
        <v>1061</v>
      </c>
      <c r="N242" t="s">
        <v>1292</v>
      </c>
      <c r="X242" t="str">
        <f>_xlfn.XLOOKUP(Y242,master!M:M,master!L:L)</f>
        <v>VELMOC_B2B</v>
      </c>
      <c r="Y242" t="s">
        <v>1089</v>
      </c>
      <c r="Z242" s="1">
        <v>1218</v>
      </c>
      <c r="AA242" s="1">
        <v>14977</v>
      </c>
      <c r="AB242">
        <f>COUNTIFS(Base!$C:$C,MAPPING!X242)</f>
        <v>1</v>
      </c>
    </row>
    <row r="243" spans="3:28" x14ac:dyDescent="0.35">
      <c r="C243" t="s">
        <v>637</v>
      </c>
      <c r="D243" t="s">
        <v>149</v>
      </c>
      <c r="F243" t="s">
        <v>637</v>
      </c>
      <c r="G243" t="s">
        <v>149</v>
      </c>
      <c r="K243" s="57" t="s">
        <v>520</v>
      </c>
      <c r="L243" s="57" t="s">
        <v>90</v>
      </c>
      <c r="M243" s="57" t="s">
        <v>817</v>
      </c>
      <c r="N243" t="s">
        <v>1289</v>
      </c>
      <c r="X243" t="str">
        <f>_xlfn.XLOOKUP(Y243,[1]rpk!$B:$B,[1]rpk!$A:$A)</f>
        <v>SRN_B2B</v>
      </c>
      <c r="Y243" t="s">
        <v>1568</v>
      </c>
      <c r="Z243" s="1">
        <v>3462</v>
      </c>
      <c r="AA243" s="1">
        <v>48763</v>
      </c>
      <c r="AB243">
        <f>COUNTIFS(Base!$C:$C,MAPPING!X243)</f>
        <v>1</v>
      </c>
    </row>
    <row r="244" spans="3:28" x14ac:dyDescent="0.35">
      <c r="C244" t="s">
        <v>638</v>
      </c>
      <c r="D244" t="s">
        <v>330</v>
      </c>
      <c r="F244" t="s">
        <v>638</v>
      </c>
      <c r="G244" t="s">
        <v>330</v>
      </c>
      <c r="K244" s="57" t="s">
        <v>934</v>
      </c>
      <c r="L244" s="57" t="s">
        <v>935</v>
      </c>
      <c r="M244" s="57" t="s">
        <v>976</v>
      </c>
      <c r="N244" t="s">
        <v>1329</v>
      </c>
      <c r="X244" t="str">
        <f>_xlfn.XLOOKUP(Y244,master!M:M,master!L:L)</f>
        <v>NANDINI_B2B</v>
      </c>
      <c r="Y244" t="s">
        <v>1363</v>
      </c>
      <c r="Z244" s="1">
        <v>5962</v>
      </c>
      <c r="AA244" s="1">
        <v>70416</v>
      </c>
      <c r="AB244">
        <f>COUNTIFS(Base!$C:$C,MAPPING!X244)</f>
        <v>1</v>
      </c>
    </row>
    <row r="245" spans="3:28" x14ac:dyDescent="0.35">
      <c r="C245" t="s">
        <v>639</v>
      </c>
      <c r="D245" t="s">
        <v>266</v>
      </c>
      <c r="F245" t="s">
        <v>639</v>
      </c>
      <c r="G245" t="s">
        <v>266</v>
      </c>
      <c r="K245" s="57" t="s">
        <v>435</v>
      </c>
      <c r="L245" s="57" t="s">
        <v>56</v>
      </c>
      <c r="M245" s="57" t="s">
        <v>1061</v>
      </c>
      <c r="N245" t="s">
        <v>1297</v>
      </c>
      <c r="X245" t="str">
        <f>_xlfn.XLOOKUP(Y245,master!M:M,master!L:L)</f>
        <v>IMEX_PLASTICS_B2B</v>
      </c>
      <c r="Y245" t="s">
        <v>1194</v>
      </c>
      <c r="Z245" s="1">
        <v>2208</v>
      </c>
      <c r="AA245" s="1">
        <v>29223</v>
      </c>
      <c r="AB245">
        <f>COUNTIFS(Base!$C:$C,MAPPING!X245)</f>
        <v>1</v>
      </c>
    </row>
    <row r="246" spans="3:28" x14ac:dyDescent="0.35">
      <c r="C246" t="s">
        <v>640</v>
      </c>
      <c r="D246" t="s">
        <v>641</v>
      </c>
      <c r="F246" t="s">
        <v>640</v>
      </c>
      <c r="G246" t="s">
        <v>641</v>
      </c>
      <c r="K246" s="57" t="s">
        <v>673</v>
      </c>
      <c r="L246" s="57" t="s">
        <v>97</v>
      </c>
      <c r="M246" s="57" t="s">
        <v>815</v>
      </c>
      <c r="N246" t="s">
        <v>1294</v>
      </c>
      <c r="X246" t="str">
        <f>_xlfn.XLOOKUP(Y246,master!M:M,master!L:L)</f>
        <v>DVC_EXPRESS_B2B</v>
      </c>
      <c r="Y246" t="s">
        <v>1347</v>
      </c>
      <c r="Z246" s="1">
        <v>7301</v>
      </c>
      <c r="AA246" s="1">
        <v>121071</v>
      </c>
      <c r="AB246">
        <f>COUNTIFS(Base!$C:$C,MAPPING!X246)</f>
        <v>1</v>
      </c>
    </row>
    <row r="247" spans="3:28" x14ac:dyDescent="0.35">
      <c r="C247" t="s">
        <v>642</v>
      </c>
      <c r="D247" t="s">
        <v>1</v>
      </c>
      <c r="F247" t="s">
        <v>642</v>
      </c>
      <c r="G247" t="s">
        <v>1</v>
      </c>
      <c r="K247" s="57" t="s">
        <v>773</v>
      </c>
      <c r="L247" s="57" t="s">
        <v>375</v>
      </c>
      <c r="M247" s="57" t="s">
        <v>837</v>
      </c>
      <c r="N247" t="s">
        <v>1288</v>
      </c>
      <c r="X247" t="str">
        <f>_xlfn.XLOOKUP(Y247,master!M:M,master!L:L)</f>
        <v>OPEN_SOURCE_B2B</v>
      </c>
      <c r="Y247" t="s">
        <v>184</v>
      </c>
      <c r="Z247" s="1">
        <v>2105</v>
      </c>
      <c r="AA247" s="1">
        <v>39517</v>
      </c>
      <c r="AB247">
        <f>COUNTIFS(Base!$C:$C,MAPPING!X247)</f>
        <v>1</v>
      </c>
    </row>
    <row r="248" spans="3:28" x14ac:dyDescent="0.35">
      <c r="C248" t="s">
        <v>545</v>
      </c>
      <c r="D248" t="s">
        <v>2</v>
      </c>
      <c r="F248" t="s">
        <v>388</v>
      </c>
      <c r="G248" t="s">
        <v>3</v>
      </c>
      <c r="K248" s="57" t="s">
        <v>1103</v>
      </c>
      <c r="L248" s="57" t="s">
        <v>1187</v>
      </c>
      <c r="M248" s="57" t="s">
        <v>1219</v>
      </c>
      <c r="N248" t="s">
        <v>1315</v>
      </c>
      <c r="X248" t="str">
        <f>_xlfn.XLOOKUP(Y248,[1]rpk!$B:$B,[1]rpk!$A:$A)</f>
        <v>ASHREY_B2B</v>
      </c>
      <c r="Y248" t="s">
        <v>1571</v>
      </c>
      <c r="Z248" s="1">
        <v>8973</v>
      </c>
      <c r="AA248" s="1">
        <v>120582</v>
      </c>
      <c r="AB248">
        <f>COUNTIFS(Base!$C:$C,MAPPING!X248)</f>
        <v>1</v>
      </c>
    </row>
    <row r="249" spans="3:28" x14ac:dyDescent="0.35">
      <c r="C249" t="s">
        <v>388</v>
      </c>
      <c r="D249" t="s">
        <v>3</v>
      </c>
      <c r="F249" t="s">
        <v>398</v>
      </c>
      <c r="G249" t="s">
        <v>4</v>
      </c>
      <c r="K249" s="57" t="s">
        <v>597</v>
      </c>
      <c r="L249" s="57" t="s">
        <v>227</v>
      </c>
      <c r="M249" s="57" t="s">
        <v>1061</v>
      </c>
      <c r="N249" t="s">
        <v>1062</v>
      </c>
      <c r="X249" t="str">
        <f>_xlfn.XLOOKUP(Y249,master!M:M,master!L:L)</f>
        <v>DELNET_CONNECT_B2B</v>
      </c>
      <c r="Y249" t="s">
        <v>1210</v>
      </c>
      <c r="Z249" s="1">
        <v>9910</v>
      </c>
      <c r="AA249" s="1">
        <v>129976</v>
      </c>
      <c r="AB249">
        <f>COUNTIFS(Base!$C:$C,MAPPING!X249)</f>
        <v>1</v>
      </c>
    </row>
    <row r="250" spans="3:28" x14ac:dyDescent="0.35">
      <c r="C250" t="s">
        <v>398</v>
      </c>
      <c r="D250" t="s">
        <v>4</v>
      </c>
      <c r="F250" t="s">
        <v>643</v>
      </c>
      <c r="G250" t="s">
        <v>5</v>
      </c>
      <c r="K250" s="57" t="s">
        <v>772</v>
      </c>
      <c r="L250" s="57" t="s">
        <v>374</v>
      </c>
      <c r="M250" s="57" t="s">
        <v>837</v>
      </c>
      <c r="N250" t="s">
        <v>1296</v>
      </c>
      <c r="X250" t="str">
        <f>_xlfn.XLOOKUP(Y250,[1]rpk!$B:$B,[1]rpk!$A:$A)</f>
        <v>SIDDHAM_B2B</v>
      </c>
      <c r="Y250" t="s">
        <v>1558</v>
      </c>
      <c r="Z250" s="1">
        <v>1046</v>
      </c>
      <c r="AA250" s="1">
        <v>16214</v>
      </c>
      <c r="AB250">
        <f>COUNTIFS(Base!$C:$C,MAPPING!X250)</f>
        <v>1</v>
      </c>
    </row>
    <row r="251" spans="3:28" x14ac:dyDescent="0.35">
      <c r="C251" t="s">
        <v>643</v>
      </c>
      <c r="D251" t="s">
        <v>5</v>
      </c>
      <c r="F251" t="s">
        <v>446</v>
      </c>
      <c r="G251" t="s">
        <v>12</v>
      </c>
      <c r="K251" s="57" t="s">
        <v>484</v>
      </c>
      <c r="L251" s="57" t="s">
        <v>1256</v>
      </c>
      <c r="M251" s="57" t="s">
        <v>813</v>
      </c>
      <c r="N251" t="s">
        <v>1396</v>
      </c>
      <c r="X251" t="str">
        <f>_xlfn.XLOOKUP(Y251,master!M:M,master!L:L)</f>
        <v>FABHR_B2B</v>
      </c>
      <c r="Y251" t="s">
        <v>1349</v>
      </c>
      <c r="Z251" s="1">
        <v>3091</v>
      </c>
      <c r="AA251" s="1">
        <v>41105</v>
      </c>
      <c r="AB251">
        <f>COUNTIFS(Base!$C:$C,MAPPING!X251)</f>
        <v>1</v>
      </c>
    </row>
    <row r="252" spans="3:28" x14ac:dyDescent="0.35">
      <c r="C252" t="s">
        <v>390</v>
      </c>
      <c r="D252" t="s">
        <v>6</v>
      </c>
      <c r="F252" t="s">
        <v>644</v>
      </c>
      <c r="G252" t="s">
        <v>15</v>
      </c>
      <c r="K252" s="57" t="s">
        <v>622</v>
      </c>
      <c r="L252" s="57" t="s">
        <v>184</v>
      </c>
      <c r="M252" s="57" t="s">
        <v>1061</v>
      </c>
      <c r="N252" t="s">
        <v>1323</v>
      </c>
      <c r="X252" t="str">
        <f>_xlfn.XLOOKUP(Y252,[1]rpk!$B:$B,[1]rpk!$A:$A)</f>
        <v>LINC_ON_B2B</v>
      </c>
      <c r="Y252" t="s">
        <v>1548</v>
      </c>
      <c r="Z252" s="1">
        <v>8931</v>
      </c>
      <c r="AA252" s="1">
        <v>128779</v>
      </c>
      <c r="AB252">
        <f>COUNTIFS(Base!$C:$C,MAPPING!X252)</f>
        <v>1</v>
      </c>
    </row>
    <row r="253" spans="3:28" x14ac:dyDescent="0.35">
      <c r="C253" t="s">
        <v>413</v>
      </c>
      <c r="D253" t="s">
        <v>7</v>
      </c>
      <c r="F253" t="s">
        <v>416</v>
      </c>
      <c r="G253" t="s">
        <v>17</v>
      </c>
      <c r="K253" s="57" t="s">
        <v>460</v>
      </c>
      <c r="L253" s="57" t="s">
        <v>1257</v>
      </c>
      <c r="M253" s="57" t="s">
        <v>1061</v>
      </c>
      <c r="N253" t="s">
        <v>1062</v>
      </c>
      <c r="X253" t="str">
        <f>_xlfn.XLOOKUP(Y253,[1]rpk!$B:$B,[1]rpk!$A:$A)</f>
        <v>SS_GLOBAL_B2B</v>
      </c>
      <c r="Y253" t="s">
        <v>1582</v>
      </c>
      <c r="Z253" s="1">
        <v>6138</v>
      </c>
      <c r="AA253" s="1">
        <v>61078</v>
      </c>
      <c r="AB253">
        <f>COUNTIFS(Base!$C:$C,MAPPING!X253)</f>
        <v>1</v>
      </c>
    </row>
    <row r="254" spans="3:28" x14ac:dyDescent="0.35">
      <c r="C254" t="s">
        <v>436</v>
      </c>
      <c r="D254" t="s">
        <v>8</v>
      </c>
      <c r="F254" t="s">
        <v>645</v>
      </c>
      <c r="G254" t="s">
        <v>18</v>
      </c>
      <c r="K254" s="57" t="s">
        <v>716</v>
      </c>
      <c r="L254" s="57" t="s">
        <v>201</v>
      </c>
      <c r="M254" s="57" t="s">
        <v>815</v>
      </c>
      <c r="N254" t="s">
        <v>1293</v>
      </c>
      <c r="X254" t="str">
        <f>_xlfn.XLOOKUP(Y254,master!M:M,master!L:L)</f>
        <v>MICRO_NANO_B2B</v>
      </c>
      <c r="Y254" t="s">
        <v>361</v>
      </c>
      <c r="Z254">
        <v>512</v>
      </c>
      <c r="AA254" s="1">
        <v>14421</v>
      </c>
      <c r="AB254">
        <f>COUNTIFS(Base!$C:$C,MAPPING!X254)</f>
        <v>1</v>
      </c>
    </row>
    <row r="255" spans="3:28" x14ac:dyDescent="0.35">
      <c r="C255" t="s">
        <v>396</v>
      </c>
      <c r="D255" t="s">
        <v>9</v>
      </c>
      <c r="F255" t="s">
        <v>391</v>
      </c>
      <c r="G255" t="s">
        <v>22</v>
      </c>
      <c r="K255" s="57" t="s">
        <v>1037</v>
      </c>
      <c r="L255" s="57" t="s">
        <v>82</v>
      </c>
      <c r="M255" s="57" t="s">
        <v>819</v>
      </c>
      <c r="N255" t="s">
        <v>1297</v>
      </c>
      <c r="X255" t="str">
        <f>_xlfn.XLOOKUP(Y255,master!M:M,master!L:L)</f>
        <v>Pine_Labs_B2B</v>
      </c>
      <c r="Y255" t="s">
        <v>366</v>
      </c>
      <c r="Z255">
        <v>82</v>
      </c>
      <c r="AA255" s="1">
        <v>8848</v>
      </c>
      <c r="AB255">
        <f>COUNTIFS(Base!$C:$C,MAPPING!X255)</f>
        <v>1</v>
      </c>
    </row>
    <row r="256" spans="3:28" x14ac:dyDescent="0.35">
      <c r="C256" t="s">
        <v>394</v>
      </c>
      <c r="D256" t="s">
        <v>10</v>
      </c>
      <c r="F256" t="s">
        <v>646</v>
      </c>
      <c r="G256" t="s">
        <v>23</v>
      </c>
      <c r="K256" s="57" t="s">
        <v>659</v>
      </c>
      <c r="L256" s="57" t="s">
        <v>61</v>
      </c>
      <c r="M256" s="57" t="s">
        <v>810</v>
      </c>
      <c r="N256" t="s">
        <v>1287</v>
      </c>
      <c r="X256" t="str">
        <f>_xlfn.XLOOKUP(Y256,[1]rpk!$B:$B,[1]rpk!$A:$A)</f>
        <v>LUXRIO_B2B</v>
      </c>
      <c r="Y256" t="s">
        <v>1747</v>
      </c>
      <c r="Z256" s="1">
        <v>1298</v>
      </c>
      <c r="AA256" s="1">
        <v>27053</v>
      </c>
      <c r="AB256">
        <f>COUNTIFS(Base!$C:$C,MAPPING!X256)</f>
        <v>1</v>
      </c>
    </row>
    <row r="257" spans="3:28" x14ac:dyDescent="0.35">
      <c r="C257" t="s">
        <v>420</v>
      </c>
      <c r="D257" t="s">
        <v>11</v>
      </c>
      <c r="F257" t="s">
        <v>647</v>
      </c>
      <c r="G257" t="s">
        <v>25</v>
      </c>
      <c r="K257" s="57" t="s">
        <v>1125</v>
      </c>
      <c r="L257" s="57" t="s">
        <v>1188</v>
      </c>
      <c r="M257" s="57" t="s">
        <v>1219</v>
      </c>
      <c r="N257" t="s">
        <v>1305</v>
      </c>
      <c r="X257" t="str">
        <f>_xlfn.XLOOKUP(Y257,master!M:M,master!L:L)</f>
        <v>MICROPARK_B2B</v>
      </c>
      <c r="Y257" t="s">
        <v>919</v>
      </c>
      <c r="Z257">
        <v>76</v>
      </c>
      <c r="AA257" s="1">
        <v>3344</v>
      </c>
      <c r="AB257">
        <f>COUNTIFS(Base!$C:$C,MAPPING!X257)</f>
        <v>1</v>
      </c>
    </row>
    <row r="258" spans="3:28" x14ac:dyDescent="0.35">
      <c r="C258" t="s">
        <v>446</v>
      </c>
      <c r="D258" t="s">
        <v>12</v>
      </c>
      <c r="F258" t="s">
        <v>648</v>
      </c>
      <c r="G258" t="s">
        <v>27</v>
      </c>
      <c r="K258" s="57" t="s">
        <v>664</v>
      </c>
      <c r="L258" s="57" t="s">
        <v>73</v>
      </c>
      <c r="M258" s="57" t="s">
        <v>815</v>
      </c>
      <c r="N258" t="s">
        <v>1287</v>
      </c>
      <c r="X258" t="str">
        <f>_xlfn.XLOOKUP(Y258,master!M:M,master!L:L)</f>
        <v>AETRIO_TECHNOLOGY_B2B</v>
      </c>
      <c r="Y258" t="s">
        <v>866</v>
      </c>
      <c r="Z258">
        <v>900</v>
      </c>
      <c r="AA258" s="1">
        <v>14260</v>
      </c>
      <c r="AB258">
        <f>COUNTIFS(Base!$C:$C,MAPPING!X258)</f>
        <v>1</v>
      </c>
    </row>
    <row r="259" spans="3:28" x14ac:dyDescent="0.35">
      <c r="C259" t="s">
        <v>401</v>
      </c>
      <c r="D259" t="s">
        <v>13</v>
      </c>
      <c r="F259" t="s">
        <v>649</v>
      </c>
      <c r="G259" t="s">
        <v>28</v>
      </c>
      <c r="K259" s="57" t="s">
        <v>1096</v>
      </c>
      <c r="L259" s="57" t="s">
        <v>1189</v>
      </c>
      <c r="M259" s="57" t="s">
        <v>1219</v>
      </c>
      <c r="N259" t="s">
        <v>1299</v>
      </c>
      <c r="X259" t="str">
        <f>_xlfn.XLOOKUP(Y259,master!M:M,master!L:L)</f>
        <v>PEORA_B2B</v>
      </c>
      <c r="Y259" t="s">
        <v>111</v>
      </c>
      <c r="Z259">
        <v>321</v>
      </c>
      <c r="AA259" s="1">
        <v>8629</v>
      </c>
      <c r="AB259">
        <f>COUNTIFS(Base!$C:$C,MAPPING!X259)</f>
        <v>1</v>
      </c>
    </row>
    <row r="260" spans="3:28" x14ac:dyDescent="0.35">
      <c r="C260" t="s">
        <v>521</v>
      </c>
      <c r="D260" t="s">
        <v>14</v>
      </c>
      <c r="F260" t="s">
        <v>650</v>
      </c>
      <c r="G260" t="s">
        <v>30</v>
      </c>
      <c r="K260" s="57" t="s">
        <v>491</v>
      </c>
      <c r="L260" s="57" t="s">
        <v>111</v>
      </c>
      <c r="M260" s="57" t="s">
        <v>1061</v>
      </c>
      <c r="N260" t="s">
        <v>1297</v>
      </c>
      <c r="X260" t="str">
        <f>_xlfn.XLOOKUP(Y260,[1]rpk!$B:$B,[1]rpk!$A:$A)</f>
        <v>BETTERLIFE_B2B</v>
      </c>
      <c r="Y260" t="s">
        <v>1545</v>
      </c>
      <c r="Z260">
        <v>126</v>
      </c>
      <c r="AA260" s="1">
        <v>1660</v>
      </c>
      <c r="AB260">
        <f>COUNTIFS(Base!$C:$C,MAPPING!X260)</f>
        <v>1</v>
      </c>
    </row>
    <row r="261" spans="3:28" x14ac:dyDescent="0.35">
      <c r="C261" t="s">
        <v>644</v>
      </c>
      <c r="D261" t="s">
        <v>15</v>
      </c>
      <c r="F261" t="s">
        <v>651</v>
      </c>
      <c r="G261" t="s">
        <v>34</v>
      </c>
      <c r="K261" s="57" t="s">
        <v>567</v>
      </c>
      <c r="L261" s="57" t="s">
        <v>170</v>
      </c>
      <c r="M261" s="57" t="s">
        <v>1223</v>
      </c>
      <c r="N261" t="s">
        <v>1294</v>
      </c>
      <c r="X261" t="str">
        <f>_xlfn.XLOOKUP(Y261,master!M:M,master!L:L)</f>
        <v>SEIBERT_B2B</v>
      </c>
      <c r="Y261" t="s">
        <v>1182</v>
      </c>
      <c r="Z261" s="1">
        <v>2771</v>
      </c>
      <c r="AA261" s="1">
        <v>30318</v>
      </c>
      <c r="AB261">
        <f>COUNTIFS(Base!$C:$C,MAPPING!X261)</f>
        <v>1</v>
      </c>
    </row>
    <row r="262" spans="3:28" x14ac:dyDescent="0.35">
      <c r="C262" t="s">
        <v>395</v>
      </c>
      <c r="D262" t="s">
        <v>16</v>
      </c>
      <c r="F262" t="s">
        <v>652</v>
      </c>
      <c r="G262" t="s">
        <v>35</v>
      </c>
      <c r="K262" s="57" t="s">
        <v>601</v>
      </c>
      <c r="L262" s="57" t="s">
        <v>152</v>
      </c>
      <c r="M262" s="57" t="s">
        <v>825</v>
      </c>
      <c r="N262" t="s">
        <v>1303</v>
      </c>
      <c r="X262" t="str">
        <f>_xlfn.XLOOKUP(Y262,master!M:M,master!L:L)</f>
        <v>AIRMAIL_B2B</v>
      </c>
      <c r="Y262" t="s">
        <v>194</v>
      </c>
      <c r="Z262">
        <v>690</v>
      </c>
      <c r="AA262" s="1">
        <v>7531</v>
      </c>
      <c r="AB262">
        <f>COUNTIFS(Base!$C:$C,MAPPING!X262)</f>
        <v>1</v>
      </c>
    </row>
    <row r="263" spans="3:28" x14ac:dyDescent="0.35">
      <c r="C263" t="s">
        <v>416</v>
      </c>
      <c r="D263" t="s">
        <v>17</v>
      </c>
      <c r="F263" t="s">
        <v>653</v>
      </c>
      <c r="G263" t="s">
        <v>36</v>
      </c>
      <c r="K263" s="57" t="s">
        <v>1258</v>
      </c>
      <c r="L263" s="57" t="s">
        <v>82</v>
      </c>
      <c r="M263" s="57" t="s">
        <v>819</v>
      </c>
      <c r="N263" t="s">
        <v>1297</v>
      </c>
      <c r="X263" t="str">
        <f>_xlfn.XLOOKUP(Y263,master!M:M,master!L:L)</f>
        <v>LOGYXPRESS_B2B</v>
      </c>
      <c r="Y263" t="s">
        <v>359</v>
      </c>
      <c r="Z263">
        <v>108</v>
      </c>
      <c r="AA263" s="1">
        <v>1861</v>
      </c>
      <c r="AB263">
        <f>COUNTIFS(Base!$C:$C,MAPPING!X263)</f>
        <v>1</v>
      </c>
    </row>
    <row r="264" spans="3:28" x14ac:dyDescent="0.35">
      <c r="C264" t="s">
        <v>645</v>
      </c>
      <c r="D264" t="s">
        <v>18</v>
      </c>
      <c r="F264" t="s">
        <v>654</v>
      </c>
      <c r="G264" t="s">
        <v>37</v>
      </c>
      <c r="K264" s="57" t="s">
        <v>1259</v>
      </c>
      <c r="L264" s="57" t="s">
        <v>352</v>
      </c>
      <c r="M264" s="57" t="s">
        <v>837</v>
      </c>
      <c r="N264" t="s">
        <v>1297</v>
      </c>
      <c r="X264" t="str">
        <f>_xlfn.XLOOKUP(Y264,[1]rpk!$B:$B,[1]rpk!$A:$A)</f>
        <v>VAISHNAVI_B2B</v>
      </c>
      <c r="Y264" t="s">
        <v>380</v>
      </c>
      <c r="Z264">
        <v>756</v>
      </c>
      <c r="AA264" s="1">
        <v>19344</v>
      </c>
      <c r="AB264">
        <f>COUNTIFS(Base!$C:$C,MAPPING!X264)</f>
        <v>1</v>
      </c>
    </row>
    <row r="265" spans="3:28" x14ac:dyDescent="0.35">
      <c r="C265" t="s">
        <v>580</v>
      </c>
      <c r="D265" t="s">
        <v>19</v>
      </c>
      <c r="F265" t="s">
        <v>655</v>
      </c>
      <c r="G265" t="s">
        <v>42</v>
      </c>
      <c r="K265" s="57" t="s">
        <v>1134</v>
      </c>
      <c r="L265" s="57" t="s">
        <v>1190</v>
      </c>
      <c r="M265" s="57" t="s">
        <v>1219</v>
      </c>
      <c r="N265" t="s">
        <v>1300</v>
      </c>
      <c r="X265" t="str">
        <f>_xlfn.XLOOKUP(Y265,master!M:M,master!L:L)</f>
        <v>SMILEPHILE_B2B</v>
      </c>
      <c r="Y265" t="s">
        <v>1379</v>
      </c>
      <c r="Z265">
        <v>10</v>
      </c>
      <c r="AA265" s="1">
        <v>1460</v>
      </c>
      <c r="AB265">
        <f>COUNTIFS(Base!$C:$C,MAPPING!X265)</f>
        <v>1</v>
      </c>
    </row>
    <row r="266" spans="3:28" x14ac:dyDescent="0.35">
      <c r="C266" t="s">
        <v>472</v>
      </c>
      <c r="D266" t="s">
        <v>20</v>
      </c>
      <c r="F266" t="s">
        <v>404</v>
      </c>
      <c r="G266" t="s">
        <v>44</v>
      </c>
      <c r="K266" s="57" t="s">
        <v>1005</v>
      </c>
      <c r="L266" s="57" t="s">
        <v>14</v>
      </c>
      <c r="M266" s="57" t="s">
        <v>1221</v>
      </c>
      <c r="N266" t="s">
        <v>1062</v>
      </c>
      <c r="X266" t="str">
        <f>_xlfn.XLOOKUP(Y266,master!M:M,master!L:L)</f>
        <v>SUNLIGHT_B2B</v>
      </c>
      <c r="Y266" t="s">
        <v>66</v>
      </c>
      <c r="Z266">
        <v>230</v>
      </c>
      <c r="AA266" s="1">
        <v>2226</v>
      </c>
      <c r="AB266">
        <f>COUNTIFS(Base!$C:$C,MAPPING!X266)</f>
        <v>1</v>
      </c>
    </row>
    <row r="267" spans="3:28" x14ac:dyDescent="0.35">
      <c r="C267" t="s">
        <v>620</v>
      </c>
      <c r="D267" t="s">
        <v>21</v>
      </c>
      <c r="F267" t="s">
        <v>442</v>
      </c>
      <c r="G267" t="s">
        <v>45</v>
      </c>
      <c r="K267" s="57" t="s">
        <v>1100</v>
      </c>
      <c r="L267" s="57" t="s">
        <v>1191</v>
      </c>
      <c r="M267" s="57" t="s">
        <v>1219</v>
      </c>
      <c r="N267" t="s">
        <v>1304</v>
      </c>
      <c r="X267" t="str">
        <f>_xlfn.XLOOKUP(Y267,[1]rpk!$B:$B,[1]rpk!$A:$A)</f>
        <v>BOGGLETREE_B2B</v>
      </c>
      <c r="Y267" t="s">
        <v>1554</v>
      </c>
      <c r="Z267">
        <v>169</v>
      </c>
      <c r="AA267" s="1">
        <v>2615</v>
      </c>
      <c r="AB267">
        <f>COUNTIFS(Base!$C:$C,MAPPING!X267)</f>
        <v>1</v>
      </c>
    </row>
    <row r="268" spans="3:28" x14ac:dyDescent="0.35">
      <c r="C268" t="s">
        <v>391</v>
      </c>
      <c r="D268" t="s">
        <v>22</v>
      </c>
      <c r="F268" t="s">
        <v>640</v>
      </c>
      <c r="G268" t="s">
        <v>50</v>
      </c>
      <c r="K268" s="57" t="s">
        <v>779</v>
      </c>
      <c r="L268" s="57" t="s">
        <v>382</v>
      </c>
      <c r="M268" s="57" t="s">
        <v>837</v>
      </c>
      <c r="N268" t="s">
        <v>1297</v>
      </c>
      <c r="X268" t="str">
        <f>_xlfn.XLOOKUP(Y268,master!M:M,master!L:L)</f>
        <v>GST_B2B</v>
      </c>
      <c r="Y268" t="s">
        <v>1209</v>
      </c>
      <c r="Z268" s="1">
        <v>22833</v>
      </c>
      <c r="AA268" s="1">
        <v>242391</v>
      </c>
      <c r="AB268">
        <f>COUNTIFS(Base!$C:$C,MAPPING!X268)</f>
        <v>1</v>
      </c>
    </row>
    <row r="269" spans="3:28" x14ac:dyDescent="0.35">
      <c r="C269" t="s">
        <v>646</v>
      </c>
      <c r="D269" t="s">
        <v>23</v>
      </c>
      <c r="F269" t="s">
        <v>656</v>
      </c>
      <c r="G269" t="s">
        <v>52</v>
      </c>
      <c r="K269" s="57" t="s">
        <v>1015</v>
      </c>
      <c r="L269" s="57" t="s">
        <v>175</v>
      </c>
      <c r="M269" s="57" t="s">
        <v>1235</v>
      </c>
      <c r="N269" t="s">
        <v>1294</v>
      </c>
      <c r="X269" t="str">
        <f>_xlfn.XLOOKUP(Y269,master!M:M,master!L:L)</f>
        <v>BEAUTY_IMPEX_B2B</v>
      </c>
      <c r="Y269" t="s">
        <v>880</v>
      </c>
      <c r="Z269">
        <v>781</v>
      </c>
      <c r="AA269" s="1">
        <v>15786</v>
      </c>
      <c r="AB269">
        <f>COUNTIFS(Base!$C:$C,MAPPING!X269)</f>
        <v>1</v>
      </c>
    </row>
    <row r="270" spans="3:28" x14ac:dyDescent="0.35">
      <c r="C270" t="s">
        <v>479</v>
      </c>
      <c r="D270" t="s">
        <v>24</v>
      </c>
      <c r="F270" t="s">
        <v>657</v>
      </c>
      <c r="G270" t="s">
        <v>53</v>
      </c>
      <c r="K270" s="57" t="s">
        <v>1102</v>
      </c>
      <c r="L270" s="57" t="s">
        <v>1192</v>
      </c>
      <c r="M270" s="57" t="s">
        <v>1219</v>
      </c>
      <c r="N270" t="s">
        <v>1329</v>
      </c>
      <c r="X270" t="str">
        <f>_xlfn.XLOOKUP(Y270,master!M:M,master!L:L)</f>
        <v>Baltra_B2B</v>
      </c>
      <c r="Y270" t="s">
        <v>109</v>
      </c>
      <c r="Z270" s="1">
        <v>3467</v>
      </c>
      <c r="AA270" s="1">
        <v>45455</v>
      </c>
      <c r="AB270">
        <f>COUNTIFS(Base!$C:$C,MAPPING!X270)</f>
        <v>1</v>
      </c>
    </row>
    <row r="271" spans="3:28" x14ac:dyDescent="0.35">
      <c r="C271" t="s">
        <v>647</v>
      </c>
      <c r="D271" t="s">
        <v>25</v>
      </c>
      <c r="F271" t="s">
        <v>658</v>
      </c>
      <c r="G271" t="s">
        <v>57</v>
      </c>
      <c r="K271" s="57" t="s">
        <v>689</v>
      </c>
      <c r="L271" s="57" t="s">
        <v>129</v>
      </c>
      <c r="M271" s="57" t="s">
        <v>810</v>
      </c>
      <c r="N271" t="s">
        <v>1294</v>
      </c>
      <c r="X271" t="str">
        <f>_xlfn.XLOOKUP(Y271,master!M:M,master!L:L)</f>
        <v>NUTRISENSE_B2B</v>
      </c>
      <c r="Y271" t="s">
        <v>1365</v>
      </c>
      <c r="Z271">
        <v>852</v>
      </c>
      <c r="AA271" s="1">
        <v>9374</v>
      </c>
      <c r="AB271">
        <f>COUNTIFS(Base!$C:$C,MAPPING!X271)</f>
        <v>1</v>
      </c>
    </row>
    <row r="272" spans="3:28" x14ac:dyDescent="0.35">
      <c r="C272" t="s">
        <v>621</v>
      </c>
      <c r="D272" t="s">
        <v>26</v>
      </c>
      <c r="F272" t="s">
        <v>659</v>
      </c>
      <c r="G272" t="s">
        <v>61</v>
      </c>
      <c r="K272" s="57" t="s">
        <v>1113</v>
      </c>
      <c r="L272" s="57" t="s">
        <v>1193</v>
      </c>
      <c r="M272" s="57" t="s">
        <v>1260</v>
      </c>
      <c r="N272" t="s">
        <v>1303</v>
      </c>
      <c r="X272" t="str">
        <f>_xlfn.XLOOKUP(Y272,master!M:M,master!L:L)</f>
        <v>DEVYSUN_B2B</v>
      </c>
      <c r="Y272" t="s">
        <v>116</v>
      </c>
      <c r="Z272">
        <v>229</v>
      </c>
      <c r="AA272" s="1">
        <v>18510</v>
      </c>
      <c r="AB272">
        <f>COUNTIFS(Base!$C:$C,MAPPING!X272)</f>
        <v>1</v>
      </c>
    </row>
    <row r="273" spans="3:28" x14ac:dyDescent="0.35">
      <c r="C273" t="s">
        <v>648</v>
      </c>
      <c r="D273" t="s">
        <v>27</v>
      </c>
      <c r="F273" t="s">
        <v>660</v>
      </c>
      <c r="G273" t="s">
        <v>63</v>
      </c>
      <c r="K273" s="57" t="s">
        <v>930</v>
      </c>
      <c r="L273" s="57" t="s">
        <v>931</v>
      </c>
      <c r="M273" s="57" t="s">
        <v>976</v>
      </c>
      <c r="N273" t="s">
        <v>1296</v>
      </c>
      <c r="X273" t="str">
        <f>_xlfn.XLOOKUP(Y273,[1]rpk!$B:$B,[1]rpk!$A:$A)</f>
        <v>MOTOVOLT_B2B</v>
      </c>
      <c r="Y273" t="s">
        <v>1748</v>
      </c>
      <c r="Z273" s="1">
        <v>5316</v>
      </c>
      <c r="AA273" s="1">
        <v>58640</v>
      </c>
      <c r="AB273">
        <f>COUNTIFS(Base!$C:$C,MAPPING!X273)</f>
        <v>1</v>
      </c>
    </row>
    <row r="274" spans="3:28" x14ac:dyDescent="0.35">
      <c r="C274" t="s">
        <v>649</v>
      </c>
      <c r="D274" t="s">
        <v>28</v>
      </c>
      <c r="F274" t="s">
        <v>661</v>
      </c>
      <c r="G274" t="s">
        <v>65</v>
      </c>
      <c r="K274" s="57" t="s">
        <v>535</v>
      </c>
      <c r="L274" s="57" t="s">
        <v>168</v>
      </c>
      <c r="M274" s="57" t="s">
        <v>834</v>
      </c>
      <c r="N274" t="s">
        <v>1303</v>
      </c>
      <c r="X274" t="str">
        <f>_xlfn.XLOOKUP(Y274,master!M:M,master!L:L)</f>
        <v>OCEYAN_B2B</v>
      </c>
      <c r="Y274" t="s">
        <v>927</v>
      </c>
      <c r="Z274" s="1">
        <v>1162</v>
      </c>
      <c r="AA274" s="1">
        <v>13666</v>
      </c>
      <c r="AB274">
        <f>COUNTIFS(Base!$C:$C,MAPPING!X274)</f>
        <v>1</v>
      </c>
    </row>
    <row r="275" spans="3:28" x14ac:dyDescent="0.35">
      <c r="C275" t="s">
        <v>614</v>
      </c>
      <c r="D275" t="s">
        <v>29</v>
      </c>
      <c r="F275" t="s">
        <v>662</v>
      </c>
      <c r="G275" t="s">
        <v>67</v>
      </c>
      <c r="K275" s="57" t="s">
        <v>670</v>
      </c>
      <c r="L275" s="57" t="s">
        <v>89</v>
      </c>
      <c r="M275" s="57" t="s">
        <v>822</v>
      </c>
      <c r="N275" t="s">
        <v>1312</v>
      </c>
      <c r="X275" t="str">
        <f>_xlfn.XLOOKUP(Y275,master!M:M,master!L:L)</f>
        <v>CRAVE_LUDHIANA_B2B</v>
      </c>
      <c r="Y275" t="s">
        <v>272</v>
      </c>
      <c r="Z275" s="1">
        <v>5384</v>
      </c>
      <c r="AA275" s="1">
        <v>72156</v>
      </c>
      <c r="AB275">
        <f>COUNTIFS(Base!$C:$C,MAPPING!X275)</f>
        <v>1</v>
      </c>
    </row>
    <row r="276" spans="3:28" x14ac:dyDescent="0.35">
      <c r="C276" t="s">
        <v>650</v>
      </c>
      <c r="D276" t="s">
        <v>30</v>
      </c>
      <c r="F276" t="s">
        <v>663</v>
      </c>
      <c r="G276" t="s">
        <v>68</v>
      </c>
      <c r="K276" s="57" t="s">
        <v>916</v>
      </c>
      <c r="L276" s="57" t="s">
        <v>917</v>
      </c>
      <c r="M276" s="57" t="s">
        <v>976</v>
      </c>
      <c r="N276" t="s">
        <v>1062</v>
      </c>
      <c r="X276" t="str">
        <f>_xlfn.XLOOKUP(Y276,master!M:M,master!L:L)</f>
        <v>VS_PRODUCTS_B2B</v>
      </c>
      <c r="Y276" t="s">
        <v>1195</v>
      </c>
      <c r="Z276" s="1">
        <v>1038</v>
      </c>
      <c r="AA276" s="1">
        <v>19144</v>
      </c>
      <c r="AB276">
        <f>COUNTIFS(Base!$C:$C,MAPPING!X276)</f>
        <v>1</v>
      </c>
    </row>
    <row r="277" spans="3:28" x14ac:dyDescent="0.35">
      <c r="C277" t="s">
        <v>636</v>
      </c>
      <c r="D277" t="s">
        <v>31</v>
      </c>
      <c r="F277" t="s">
        <v>574</v>
      </c>
      <c r="G277" t="s">
        <v>72</v>
      </c>
      <c r="K277" s="57" t="s">
        <v>710</v>
      </c>
      <c r="L277" s="57" t="s">
        <v>190</v>
      </c>
      <c r="M277" s="57" t="s">
        <v>822</v>
      </c>
      <c r="N277" t="s">
        <v>1282</v>
      </c>
      <c r="X277" t="str">
        <f>_xlfn.XLOOKUP(Y277,master!M:M,master!L:L)</f>
        <v>FLEXI_GO_B2B</v>
      </c>
      <c r="Y277" t="s">
        <v>1350</v>
      </c>
      <c r="Z277">
        <v>866</v>
      </c>
      <c r="AA277" s="1">
        <v>14400</v>
      </c>
      <c r="AB277">
        <f>COUNTIFS(Base!$C:$C,MAPPING!X277)</f>
        <v>1</v>
      </c>
    </row>
    <row r="278" spans="3:28" x14ac:dyDescent="0.35">
      <c r="C278" t="s">
        <v>441</v>
      </c>
      <c r="D278" t="s">
        <v>32</v>
      </c>
      <c r="F278" t="s">
        <v>664</v>
      </c>
      <c r="G278" t="s">
        <v>73</v>
      </c>
      <c r="K278" s="57" t="s">
        <v>1120</v>
      </c>
      <c r="L278" s="57" t="s">
        <v>1194</v>
      </c>
      <c r="M278" s="57" t="s">
        <v>1219</v>
      </c>
      <c r="N278" t="s">
        <v>1308</v>
      </c>
      <c r="X278" t="str">
        <f>_xlfn.XLOOKUP(Y278,master!M:M,master!L:L)</f>
        <v>MY_DESIGNATION_B2B</v>
      </c>
      <c r="Y278" t="s">
        <v>362</v>
      </c>
      <c r="Z278" s="1">
        <v>2362</v>
      </c>
      <c r="AA278" s="1">
        <v>35032</v>
      </c>
      <c r="AB278">
        <f>COUNTIFS(Base!$C:$C,MAPPING!X278)</f>
        <v>1</v>
      </c>
    </row>
    <row r="279" spans="3:28" x14ac:dyDescent="0.35">
      <c r="C279" t="s">
        <v>418</v>
      </c>
      <c r="D279" t="s">
        <v>33</v>
      </c>
      <c r="F279" t="s">
        <v>665</v>
      </c>
      <c r="G279" t="s">
        <v>76</v>
      </c>
      <c r="K279" s="57" t="s">
        <v>656</v>
      </c>
      <c r="L279" s="57" t="s">
        <v>52</v>
      </c>
      <c r="M279" s="57" t="s">
        <v>815</v>
      </c>
      <c r="N279" t="s">
        <v>1294</v>
      </c>
      <c r="X279" t="str">
        <f>_xlfn.XLOOKUP(Y279,master!M:M,master!L:L)</f>
        <v>THE_SHIVAKSH_B2B</v>
      </c>
      <c r="Y279" t="s">
        <v>377</v>
      </c>
      <c r="Z279" s="1">
        <v>2905</v>
      </c>
      <c r="AA279" s="1">
        <v>28964</v>
      </c>
      <c r="AB279">
        <f>COUNTIFS(Base!$C:$C,MAPPING!X279)</f>
        <v>1</v>
      </c>
    </row>
    <row r="280" spans="3:28" x14ac:dyDescent="0.35">
      <c r="C280" t="s">
        <v>651</v>
      </c>
      <c r="D280" t="s">
        <v>34</v>
      </c>
      <c r="F280" t="s">
        <v>666</v>
      </c>
      <c r="G280" t="s">
        <v>79</v>
      </c>
      <c r="K280" s="57" t="s">
        <v>1261</v>
      </c>
      <c r="L280" s="57" t="s">
        <v>352</v>
      </c>
      <c r="M280" s="57" t="s">
        <v>837</v>
      </c>
      <c r="N280" t="s">
        <v>1297</v>
      </c>
      <c r="X280" t="str">
        <f>_xlfn.XLOOKUP(Y280,master!M:M,master!L:L)</f>
        <v>PD_Logistics_B2B</v>
      </c>
      <c r="Y280" t="s">
        <v>365</v>
      </c>
      <c r="Z280">
        <v>274</v>
      </c>
      <c r="AA280" s="1">
        <v>3522</v>
      </c>
      <c r="AB280">
        <f>COUNTIFS(Base!$C:$C,MAPPING!X280)</f>
        <v>1</v>
      </c>
    </row>
    <row r="281" spans="3:28" x14ac:dyDescent="0.35">
      <c r="C281" t="s">
        <v>652</v>
      </c>
      <c r="D281" t="s">
        <v>35</v>
      </c>
      <c r="F281" t="s">
        <v>667</v>
      </c>
      <c r="G281" t="s">
        <v>80</v>
      </c>
      <c r="K281" s="57" t="s">
        <v>626</v>
      </c>
      <c r="L281" s="57" t="s">
        <v>318</v>
      </c>
      <c r="M281" s="57" t="s">
        <v>836</v>
      </c>
      <c r="N281" t="s">
        <v>1335</v>
      </c>
      <c r="X281" t="str">
        <f>_xlfn.XLOOKUP(Y281,master!M:M,master!L:L)</f>
        <v>BRIOTA_B2B</v>
      </c>
      <c r="Y281" t="s">
        <v>1345</v>
      </c>
      <c r="Z281">
        <v>424</v>
      </c>
      <c r="AA281" s="1">
        <v>11427</v>
      </c>
      <c r="AB281">
        <f>COUNTIFS(Base!$C:$C,MAPPING!X281)</f>
        <v>1</v>
      </c>
    </row>
    <row r="282" spans="3:28" x14ac:dyDescent="0.35">
      <c r="C282" t="s">
        <v>653</v>
      </c>
      <c r="D282" t="s">
        <v>36</v>
      </c>
      <c r="F282" t="s">
        <v>668</v>
      </c>
      <c r="G282" t="s">
        <v>82</v>
      </c>
      <c r="K282" s="57" t="s">
        <v>1144</v>
      </c>
      <c r="L282" s="57" t="s">
        <v>1195</v>
      </c>
      <c r="M282" s="57" t="s">
        <v>1219</v>
      </c>
      <c r="N282" t="s">
        <v>1318</v>
      </c>
      <c r="X282" t="str">
        <f>_xlfn.XLOOKUP(Y282,master!M:M,master!L:L)</f>
        <v>AUSTRALIAN_FOODS_B2B</v>
      </c>
      <c r="Y282" t="s">
        <v>874</v>
      </c>
      <c r="Z282" s="1">
        <v>3292</v>
      </c>
      <c r="AA282" s="1">
        <v>28640</v>
      </c>
      <c r="AB282">
        <f>COUNTIFS(Base!$C:$C,MAPPING!X282)</f>
        <v>1</v>
      </c>
    </row>
    <row r="283" spans="3:28" x14ac:dyDescent="0.35">
      <c r="C283" t="s">
        <v>654</v>
      </c>
      <c r="D283" t="s">
        <v>37</v>
      </c>
      <c r="F283" t="s">
        <v>669</v>
      </c>
      <c r="G283" t="s">
        <v>87</v>
      </c>
      <c r="K283" s="57" t="s">
        <v>775</v>
      </c>
      <c r="L283" s="57" t="s">
        <v>377</v>
      </c>
      <c r="M283" s="57" t="s">
        <v>822</v>
      </c>
      <c r="N283" t="s">
        <v>1062</v>
      </c>
      <c r="X283" t="str">
        <f>_xlfn.XLOOKUP(Y283,master!M:M,master!L:L)</f>
        <v>NONA_B2B</v>
      </c>
      <c r="Y283" t="s">
        <v>1207</v>
      </c>
      <c r="Z283">
        <v>230</v>
      </c>
      <c r="AA283" s="1">
        <v>6703</v>
      </c>
      <c r="AB283">
        <f>COUNTIFS(Base!$C:$C,MAPPING!X283)</f>
        <v>1</v>
      </c>
    </row>
    <row r="284" spans="3:28" x14ac:dyDescent="0.35">
      <c r="C284" t="s">
        <v>549</v>
      </c>
      <c r="D284" t="s">
        <v>38</v>
      </c>
      <c r="F284" t="s">
        <v>670</v>
      </c>
      <c r="G284" t="s">
        <v>89</v>
      </c>
      <c r="K284" s="57" t="s">
        <v>1099</v>
      </c>
      <c r="L284" s="57" t="s">
        <v>1196</v>
      </c>
      <c r="M284" s="57" t="s">
        <v>1219</v>
      </c>
      <c r="N284" t="s">
        <v>1311</v>
      </c>
      <c r="X284" t="str">
        <f>_xlfn.XLOOKUP(Y284,master!M:M,master!L:L)</f>
        <v>NANDI_LOGISTIC_B2B</v>
      </c>
      <c r="Y284" t="s">
        <v>1190</v>
      </c>
      <c r="Z284" s="1">
        <v>12585</v>
      </c>
      <c r="AA284" s="1">
        <v>201291</v>
      </c>
      <c r="AB284">
        <f>COUNTIFS(Base!$C:$C,MAPPING!X284)</f>
        <v>1</v>
      </c>
    </row>
    <row r="285" spans="3:28" x14ac:dyDescent="0.35">
      <c r="C285" t="s">
        <v>425</v>
      </c>
      <c r="D285" t="s">
        <v>39</v>
      </c>
      <c r="F285" t="s">
        <v>671</v>
      </c>
      <c r="G285" t="s">
        <v>92</v>
      </c>
      <c r="K285" s="57" t="s">
        <v>1116</v>
      </c>
      <c r="L285" s="57" t="s">
        <v>1197</v>
      </c>
      <c r="M285" s="57" t="s">
        <v>1219</v>
      </c>
      <c r="N285" t="s">
        <v>1296</v>
      </c>
      <c r="X285" t="str">
        <f>_xlfn.XLOOKUP(Y285,master!M:M,master!L:L)</f>
        <v>GAINT_LOGISTIC_B2B</v>
      </c>
      <c r="Y285" t="s">
        <v>1162</v>
      </c>
      <c r="Z285" s="1">
        <v>12694</v>
      </c>
      <c r="AA285" s="1">
        <v>236792</v>
      </c>
      <c r="AB285">
        <f>COUNTIFS(Base!$C:$C,MAPPING!X285)</f>
        <v>1</v>
      </c>
    </row>
    <row r="286" spans="3:28" x14ac:dyDescent="0.35">
      <c r="C286" t="s">
        <v>559</v>
      </c>
      <c r="D286" t="s">
        <v>40</v>
      </c>
      <c r="F286" t="s">
        <v>672</v>
      </c>
      <c r="G286" t="s">
        <v>93</v>
      </c>
      <c r="K286" s="57" t="s">
        <v>677</v>
      </c>
      <c r="L286" s="57" t="s">
        <v>109</v>
      </c>
      <c r="M286" s="57" t="s">
        <v>815</v>
      </c>
      <c r="N286" t="s">
        <v>1294</v>
      </c>
      <c r="X286" t="str">
        <f>_xlfn.XLOOKUP(Y286,master!M:M,master!L:L)</f>
        <v>HORNBACK_B2B</v>
      </c>
      <c r="Y286" t="s">
        <v>1353</v>
      </c>
      <c r="Z286" s="1">
        <v>6333</v>
      </c>
      <c r="AA286" s="1">
        <v>51765</v>
      </c>
      <c r="AB286">
        <f>COUNTIFS(Base!$C:$C,MAPPING!X286)</f>
        <v>1</v>
      </c>
    </row>
    <row r="287" spans="3:28" x14ac:dyDescent="0.35">
      <c r="C287" t="s">
        <v>556</v>
      </c>
      <c r="D287" t="s">
        <v>41</v>
      </c>
      <c r="F287" t="s">
        <v>673</v>
      </c>
      <c r="G287" t="s">
        <v>97</v>
      </c>
      <c r="K287" s="57" t="s">
        <v>1112</v>
      </c>
      <c r="L287" s="57" t="s">
        <v>1198</v>
      </c>
      <c r="M287" s="57" t="s">
        <v>1219</v>
      </c>
      <c r="N287" t="s">
        <v>1300</v>
      </c>
      <c r="X287" t="str">
        <f>_xlfn.XLOOKUP(Y287,master!M:M,master!L:L)</f>
        <v>Seshasaai_kundli_B2B</v>
      </c>
      <c r="Y287" t="s">
        <v>125</v>
      </c>
      <c r="Z287" s="1">
        <v>2358</v>
      </c>
      <c r="AA287" s="1">
        <v>24201</v>
      </c>
      <c r="AB287">
        <f>COUNTIFS(Base!$C:$C,MAPPING!X287)</f>
        <v>1</v>
      </c>
    </row>
    <row r="288" spans="3:28" x14ac:dyDescent="0.35">
      <c r="C288" t="s">
        <v>655</v>
      </c>
      <c r="D288" t="s">
        <v>42</v>
      </c>
      <c r="F288" t="s">
        <v>674</v>
      </c>
      <c r="G288" t="s">
        <v>101</v>
      </c>
      <c r="K288" s="57" t="s">
        <v>1142</v>
      </c>
      <c r="L288" s="57" t="s">
        <v>1199</v>
      </c>
      <c r="M288" s="57" t="s">
        <v>1219</v>
      </c>
      <c r="N288" t="s">
        <v>1287</v>
      </c>
      <c r="X288" t="str">
        <f>_xlfn.XLOOKUP(Y288,master!M:M,master!L:L)</f>
        <v>ARAV_EXPORTS_B2B</v>
      </c>
      <c r="Y288" t="s">
        <v>1188</v>
      </c>
      <c r="Z288" s="1">
        <v>1860</v>
      </c>
      <c r="AA288" s="1">
        <v>25337</v>
      </c>
      <c r="AB288">
        <f>COUNTIFS(Base!$C:$C,MAPPING!X288)</f>
        <v>1</v>
      </c>
    </row>
    <row r="289" spans="3:28" x14ac:dyDescent="0.35">
      <c r="C289" t="s">
        <v>393</v>
      </c>
      <c r="D289" t="s">
        <v>43</v>
      </c>
      <c r="F289" t="e">
        <v>#N/A</v>
      </c>
      <c r="G289" t="s">
        <v>103</v>
      </c>
      <c r="K289" s="57" t="s">
        <v>1009</v>
      </c>
      <c r="L289" s="57" t="s">
        <v>82</v>
      </c>
      <c r="M289" s="57" t="s">
        <v>819</v>
      </c>
      <c r="N289" t="s">
        <v>1297</v>
      </c>
      <c r="X289" t="str">
        <f>_xlfn.XLOOKUP(Y289,master!M:M,master!L:L)</f>
        <v>YASIN_COURIER_B2B</v>
      </c>
      <c r="Y289" t="s">
        <v>1185</v>
      </c>
      <c r="Z289">
        <v>125</v>
      </c>
      <c r="AA289" s="1">
        <v>2813</v>
      </c>
      <c r="AB289">
        <f>COUNTIFS(Base!$C:$C,MAPPING!X289)</f>
        <v>1</v>
      </c>
    </row>
    <row r="290" spans="3:28" x14ac:dyDescent="0.35">
      <c r="C290" t="s">
        <v>404</v>
      </c>
      <c r="D290" t="s">
        <v>44</v>
      </c>
      <c r="F290" t="s">
        <v>675</v>
      </c>
      <c r="G290" t="s">
        <v>104</v>
      </c>
      <c r="K290" s="57" t="s">
        <v>914</v>
      </c>
      <c r="L290" s="57" t="s">
        <v>915</v>
      </c>
      <c r="M290" s="57" t="s">
        <v>976</v>
      </c>
      <c r="N290" t="s">
        <v>1294</v>
      </c>
      <c r="X290" t="str">
        <f>_xlfn.XLOOKUP(Y290,master!M:M,master!L:L)</f>
        <v>SHIPLYSTIC_B2B</v>
      </c>
      <c r="Y290" t="s">
        <v>373</v>
      </c>
      <c r="Z290">
        <v>76</v>
      </c>
      <c r="AA290" s="1">
        <v>2497</v>
      </c>
      <c r="AB290">
        <f>COUNTIFS(Base!$C:$C,MAPPING!X290)</f>
        <v>1</v>
      </c>
    </row>
    <row r="291" spans="3:28" x14ac:dyDescent="0.35">
      <c r="C291" t="s">
        <v>442</v>
      </c>
      <c r="D291" t="s">
        <v>45</v>
      </c>
      <c r="F291" t="s">
        <v>676</v>
      </c>
      <c r="G291" t="s">
        <v>105</v>
      </c>
      <c r="K291" s="57" t="s">
        <v>518</v>
      </c>
      <c r="L291" s="57" t="s">
        <v>178</v>
      </c>
      <c r="M291" s="57" t="s">
        <v>834</v>
      </c>
      <c r="N291" t="s">
        <v>1294</v>
      </c>
      <c r="X291" t="str">
        <f>_xlfn.XLOOKUP(Y291,master!M:M,master!L:L)</f>
        <v>Asia_Parcel_B2B</v>
      </c>
      <c r="Y291" t="s">
        <v>196</v>
      </c>
      <c r="Z291" s="1">
        <v>5714</v>
      </c>
      <c r="AA291" s="1">
        <v>61764</v>
      </c>
      <c r="AB291">
        <f>COUNTIFS(Base!$C:$C,MAPPING!X291)</f>
        <v>1</v>
      </c>
    </row>
    <row r="292" spans="3:28" x14ac:dyDescent="0.35">
      <c r="C292" t="s">
        <v>439</v>
      </c>
      <c r="D292" t="s">
        <v>46</v>
      </c>
      <c r="F292" t="s">
        <v>677</v>
      </c>
      <c r="G292" t="s">
        <v>109</v>
      </c>
      <c r="K292" s="57" t="s">
        <v>1108</v>
      </c>
      <c r="L292" s="57" t="s">
        <v>1200</v>
      </c>
      <c r="M292" s="57" t="s">
        <v>1061</v>
      </c>
      <c r="N292" t="s">
        <v>1294</v>
      </c>
      <c r="X292" t="str">
        <f>_xlfn.XLOOKUP(Y292,[1]rpk!$B:$B,[1]rpk!$A:$A)</f>
        <v>AIRLINE_TURBO_B2B</v>
      </c>
      <c r="Y292" t="s">
        <v>1749</v>
      </c>
      <c r="Z292" s="1">
        <v>2215</v>
      </c>
      <c r="AA292" s="1">
        <v>20962</v>
      </c>
      <c r="AB292">
        <f>COUNTIFS(Base!$C:$C,MAPPING!X292)</f>
        <v>1</v>
      </c>
    </row>
    <row r="293" spans="3:28" x14ac:dyDescent="0.35">
      <c r="C293" t="s">
        <v>553</v>
      </c>
      <c r="D293" t="s">
        <v>47</v>
      </c>
      <c r="F293" t="s">
        <v>678</v>
      </c>
      <c r="G293" t="s">
        <v>112</v>
      </c>
      <c r="K293" s="57" t="s">
        <v>624</v>
      </c>
      <c r="L293" s="57" t="s">
        <v>106</v>
      </c>
      <c r="M293" s="57" t="s">
        <v>821</v>
      </c>
      <c r="N293" t="s">
        <v>1312</v>
      </c>
      <c r="X293" t="str">
        <f>_xlfn.XLOOKUP(Y293,[1]rpk!$B:$B,[1]rpk!$A:$A)</f>
        <v>KUMAR_B2B</v>
      </c>
      <c r="Y293" t="s">
        <v>1551</v>
      </c>
      <c r="Z293">
        <v>520</v>
      </c>
      <c r="AA293" s="1">
        <v>6203</v>
      </c>
      <c r="AB293">
        <f>COUNTIFS(Base!$C:$C,MAPPING!X293)</f>
        <v>1</v>
      </c>
    </row>
    <row r="294" spans="3:28" x14ac:dyDescent="0.35">
      <c r="C294" t="s">
        <v>470</v>
      </c>
      <c r="D294" t="s">
        <v>48</v>
      </c>
      <c r="F294" t="s">
        <v>679</v>
      </c>
      <c r="G294" t="s">
        <v>113</v>
      </c>
      <c r="K294" s="57" t="s">
        <v>906</v>
      </c>
      <c r="L294" s="57" t="s">
        <v>907</v>
      </c>
      <c r="M294" s="57" t="s">
        <v>976</v>
      </c>
      <c r="N294" t="s">
        <v>1282</v>
      </c>
      <c r="X294" t="str">
        <f>_xlfn.XLOOKUP(Y294,master!M:M,master!L:L)</f>
        <v>LOSUNG_360_B2B</v>
      </c>
      <c r="Y294" t="s">
        <v>1213</v>
      </c>
      <c r="Z294">
        <v>228</v>
      </c>
      <c r="AA294" s="1">
        <v>3259</v>
      </c>
      <c r="AB294">
        <f>COUNTIFS(Base!$C:$C,MAPPING!X294)</f>
        <v>1</v>
      </c>
    </row>
    <row r="295" spans="3:28" x14ac:dyDescent="0.35">
      <c r="C295" t="s">
        <v>599</v>
      </c>
      <c r="D295" t="s">
        <v>49</v>
      </c>
      <c r="F295" t="s">
        <v>680</v>
      </c>
      <c r="G295" t="s">
        <v>115</v>
      </c>
      <c r="K295" s="57" t="s">
        <v>1146</v>
      </c>
      <c r="L295" s="57" t="s">
        <v>1201</v>
      </c>
      <c r="M295" s="57" t="s">
        <v>1219</v>
      </c>
      <c r="N295" t="s">
        <v>1402</v>
      </c>
      <c r="X295" t="str">
        <f>_xlfn.XLOOKUP(Y295,[1]rpk!$B:$B,[1]rpk!$A:$A)</f>
        <v>SPEAR_PACK_B2B</v>
      </c>
      <c r="Y295" t="s">
        <v>1563</v>
      </c>
      <c r="Z295">
        <v>235</v>
      </c>
      <c r="AA295" s="1">
        <v>3434</v>
      </c>
      <c r="AB295">
        <f>COUNTIFS(Base!$C:$C,MAPPING!X295)</f>
        <v>1</v>
      </c>
    </row>
    <row r="296" spans="3:28" x14ac:dyDescent="0.35">
      <c r="C296" t="s">
        <v>640</v>
      </c>
      <c r="D296" t="s">
        <v>50</v>
      </c>
      <c r="F296" t="s">
        <v>681</v>
      </c>
      <c r="G296" t="s">
        <v>116</v>
      </c>
      <c r="K296" s="57" t="s">
        <v>679</v>
      </c>
      <c r="L296" s="57" t="s">
        <v>113</v>
      </c>
      <c r="M296" s="57" t="s">
        <v>822</v>
      </c>
      <c r="N296" t="s">
        <v>1283</v>
      </c>
      <c r="X296" t="str">
        <f>_xlfn.XLOOKUP(Y296,master!M:M,master!L:L)</f>
        <v>AAJ_ENTERPRISES_B2B</v>
      </c>
      <c r="Y296" t="s">
        <v>90</v>
      </c>
      <c r="Z296" s="1">
        <v>1816</v>
      </c>
      <c r="AA296" s="1">
        <v>17347</v>
      </c>
      <c r="AB296">
        <f>COUNTIFS(Base!$C:$C,MAPPING!X296)</f>
        <v>1</v>
      </c>
    </row>
    <row r="297" spans="3:28" x14ac:dyDescent="0.35">
      <c r="C297" t="s">
        <v>625</v>
      </c>
      <c r="D297" t="s">
        <v>51</v>
      </c>
      <c r="F297" t="s">
        <v>682</v>
      </c>
      <c r="G297" t="s">
        <v>117</v>
      </c>
      <c r="K297" s="57" t="s">
        <v>1128</v>
      </c>
      <c r="L297" s="57" t="s">
        <v>1202</v>
      </c>
      <c r="M297" s="57" t="s">
        <v>1219</v>
      </c>
      <c r="N297" t="s">
        <v>1312</v>
      </c>
      <c r="X297" t="str">
        <f>_xlfn.XLOOKUP(Y297,master!M:M,master!L:L)</f>
        <v>RELIABLE_B2B</v>
      </c>
      <c r="Y297" t="s">
        <v>1179</v>
      </c>
      <c r="Z297" s="1">
        <v>42335</v>
      </c>
      <c r="AA297" s="1">
        <v>440669</v>
      </c>
      <c r="AB297">
        <f>COUNTIFS(Base!$C:$C,MAPPING!X297)</f>
        <v>1</v>
      </c>
    </row>
    <row r="298" spans="3:28" x14ac:dyDescent="0.35">
      <c r="C298" t="s">
        <v>656</v>
      </c>
      <c r="D298" t="s">
        <v>52</v>
      </c>
      <c r="F298" t="s">
        <v>683</v>
      </c>
      <c r="G298" t="s">
        <v>119</v>
      </c>
      <c r="K298" s="57" t="s">
        <v>1097</v>
      </c>
      <c r="L298" s="57" t="s">
        <v>1203</v>
      </c>
      <c r="M298" s="57" t="s">
        <v>1219</v>
      </c>
      <c r="N298" t="s">
        <v>1311</v>
      </c>
      <c r="X298" t="str">
        <f>_xlfn.XLOOKUP(Y298,master!M:M,master!L:L)</f>
        <v>EXYTE_B2B</v>
      </c>
      <c r="Y298" t="s">
        <v>897</v>
      </c>
      <c r="Z298">
        <v>20</v>
      </c>
      <c r="AA298">
        <v>405</v>
      </c>
      <c r="AB298">
        <f>COUNTIFS(Base!$C:$C,MAPPING!X298)</f>
        <v>1</v>
      </c>
    </row>
    <row r="299" spans="3:28" x14ac:dyDescent="0.35">
      <c r="C299" t="s">
        <v>657</v>
      </c>
      <c r="D299" t="s">
        <v>53</v>
      </c>
      <c r="F299" t="s">
        <v>684</v>
      </c>
      <c r="G299" t="s">
        <v>120</v>
      </c>
      <c r="K299" s="57" t="s">
        <v>747</v>
      </c>
      <c r="L299" s="57" t="s">
        <v>348</v>
      </c>
      <c r="M299" s="57" t="s">
        <v>837</v>
      </c>
      <c r="N299" t="s">
        <v>1311</v>
      </c>
      <c r="X299" t="str">
        <f>_xlfn.XLOOKUP(Y299,master!M:M,master!L:L)</f>
        <v>RAW_HIMALAYA_B2B</v>
      </c>
      <c r="Y299" t="s">
        <v>168</v>
      </c>
      <c r="Z299" s="1">
        <v>1000</v>
      </c>
      <c r="AA299" s="1">
        <v>10570</v>
      </c>
      <c r="AB299">
        <f>COUNTIFS(Base!$C:$C,MAPPING!X299)</f>
        <v>1</v>
      </c>
    </row>
    <row r="300" spans="3:28" x14ac:dyDescent="0.35">
      <c r="C300" t="s">
        <v>468</v>
      </c>
      <c r="D300" t="s">
        <v>54</v>
      </c>
      <c r="F300" t="s">
        <v>466</v>
      </c>
      <c r="G300" t="s">
        <v>121</v>
      </c>
      <c r="K300" s="57" t="s">
        <v>1262</v>
      </c>
      <c r="L300" s="57" t="s">
        <v>1220</v>
      </c>
      <c r="M300" s="57" t="s">
        <v>1061</v>
      </c>
      <c r="N300" t="s">
        <v>1295</v>
      </c>
      <c r="X300" t="str">
        <f>_xlfn.XLOOKUP(Y300,[1]rpk!$B:$B,[1]rpk!$A:$A)</f>
        <v>AFOUR_B2B</v>
      </c>
      <c r="Y300" t="s">
        <v>1570</v>
      </c>
      <c r="Z300">
        <v>549</v>
      </c>
      <c r="AA300" s="1">
        <v>8774</v>
      </c>
      <c r="AB300">
        <f>COUNTIFS(Base!$C:$C,MAPPING!X300)</f>
        <v>1</v>
      </c>
    </row>
    <row r="301" spans="3:28" x14ac:dyDescent="0.35">
      <c r="C301" t="s">
        <v>473</v>
      </c>
      <c r="D301" t="s">
        <v>55</v>
      </c>
      <c r="F301" t="s">
        <v>685</v>
      </c>
      <c r="G301" t="s">
        <v>122</v>
      </c>
      <c r="K301" s="57" t="s">
        <v>1020</v>
      </c>
      <c r="L301" s="57" t="s">
        <v>82</v>
      </c>
      <c r="M301" s="57" t="s">
        <v>819</v>
      </c>
      <c r="N301" t="s">
        <v>1297</v>
      </c>
      <c r="X301" t="str">
        <f>_xlfn.XLOOKUP(Y301,master!M:M,master!L:L)</f>
        <v>SASASA_B2B</v>
      </c>
      <c r="Y301" t="s">
        <v>1214</v>
      </c>
      <c r="Z301">
        <v>245</v>
      </c>
      <c r="AA301" s="1">
        <v>6182</v>
      </c>
      <c r="AB301">
        <f>COUNTIFS(Base!$C:$C,MAPPING!X301)</f>
        <v>1</v>
      </c>
    </row>
    <row r="302" spans="3:28" x14ac:dyDescent="0.35">
      <c r="C302" t="s">
        <v>435</v>
      </c>
      <c r="D302" t="s">
        <v>56</v>
      </c>
      <c r="F302" t="s">
        <v>686</v>
      </c>
      <c r="G302" t="s">
        <v>123</v>
      </c>
      <c r="K302" s="57" t="s">
        <v>926</v>
      </c>
      <c r="L302" s="57" t="s">
        <v>927</v>
      </c>
      <c r="M302" s="57" t="s">
        <v>976</v>
      </c>
      <c r="N302" t="s">
        <v>1299</v>
      </c>
      <c r="X302" t="str">
        <f>_xlfn.XLOOKUP(Y302,[1]rpk!$B:$B,[1]rpk!$A:$A)</f>
        <v>KHADI_B2B</v>
      </c>
      <c r="Y302" t="s">
        <v>1750</v>
      </c>
      <c r="Z302">
        <v>833</v>
      </c>
      <c r="AA302" s="1">
        <v>18946</v>
      </c>
      <c r="AB302">
        <f>COUNTIFS(Base!$C:$C,MAPPING!X302)</f>
        <v>1</v>
      </c>
    </row>
    <row r="303" spans="3:28" x14ac:dyDescent="0.35">
      <c r="C303" t="s">
        <v>658</v>
      </c>
      <c r="D303" t="s">
        <v>57</v>
      </c>
      <c r="F303" t="s">
        <v>687</v>
      </c>
      <c r="G303" t="s">
        <v>124</v>
      </c>
      <c r="K303" s="57" t="s">
        <v>1133</v>
      </c>
      <c r="L303" s="57" t="s">
        <v>1204</v>
      </c>
      <c r="M303" s="57" t="s">
        <v>1219</v>
      </c>
      <c r="N303" t="s">
        <v>1299</v>
      </c>
      <c r="X303" t="str">
        <f>_xlfn.XLOOKUP(Y303,master!M:M,master!L:L)</f>
        <v>SHIPSHOPY_B2B</v>
      </c>
      <c r="Y303" t="s">
        <v>65</v>
      </c>
      <c r="Z303">
        <v>15</v>
      </c>
      <c r="AA303" s="1">
        <v>2506</v>
      </c>
      <c r="AB303">
        <f>COUNTIFS(Base!$C:$C,MAPPING!X303)</f>
        <v>1</v>
      </c>
    </row>
    <row r="304" spans="3:28" x14ac:dyDescent="0.35">
      <c r="C304" t="s">
        <v>455</v>
      </c>
      <c r="D304" t="s">
        <v>58</v>
      </c>
      <c r="F304" t="s">
        <v>688</v>
      </c>
      <c r="G304" t="s">
        <v>127</v>
      </c>
      <c r="K304" s="57" t="s">
        <v>894</v>
      </c>
      <c r="L304" s="57" t="s">
        <v>895</v>
      </c>
      <c r="M304" s="57" t="s">
        <v>837</v>
      </c>
      <c r="N304" t="s">
        <v>1294</v>
      </c>
      <c r="X304" t="str">
        <f>_xlfn.XLOOKUP(Y304,master!M:M,master!L:L)</f>
        <v>ASMR_BITES_B2B</v>
      </c>
      <c r="Y304" t="s">
        <v>1341</v>
      </c>
      <c r="Z304">
        <v>24</v>
      </c>
      <c r="AA304">
        <v>834</v>
      </c>
      <c r="AB304">
        <f>COUNTIFS(Base!$C:$C,MAPPING!X304)</f>
        <v>1</v>
      </c>
    </row>
    <row r="305" spans="3:28" x14ac:dyDescent="0.35">
      <c r="C305" t="s">
        <v>591</v>
      </c>
      <c r="D305" t="s">
        <v>59</v>
      </c>
      <c r="F305" t="s">
        <v>689</v>
      </c>
      <c r="G305" t="s">
        <v>129</v>
      </c>
      <c r="K305" s="57" t="s">
        <v>761</v>
      </c>
      <c r="L305" s="57" t="s">
        <v>362</v>
      </c>
      <c r="M305" s="57" t="s">
        <v>837</v>
      </c>
      <c r="N305" t="s">
        <v>1312</v>
      </c>
      <c r="X305" t="str">
        <f>_xlfn.XLOOKUP(Y305,master!M:M,master!L:L)</f>
        <v>TEKIES_B2B</v>
      </c>
      <c r="Y305" t="s">
        <v>199</v>
      </c>
      <c r="Z305">
        <v>26</v>
      </c>
      <c r="AA305">
        <v>482</v>
      </c>
      <c r="AB305">
        <f>COUNTIFS(Base!$C:$C,MAPPING!X305)</f>
        <v>1</v>
      </c>
    </row>
    <row r="306" spans="3:28" x14ac:dyDescent="0.35">
      <c r="C306" t="s">
        <v>592</v>
      </c>
      <c r="D306" t="s">
        <v>60</v>
      </c>
      <c r="F306" t="s">
        <v>690</v>
      </c>
      <c r="G306" t="s">
        <v>131</v>
      </c>
      <c r="K306" s="57" t="s">
        <v>892</v>
      </c>
      <c r="L306" s="57" t="s">
        <v>893</v>
      </c>
      <c r="M306" s="57" t="s">
        <v>976</v>
      </c>
      <c r="N306" t="s">
        <v>1296</v>
      </c>
      <c r="X306" t="str">
        <f>_xlfn.XLOOKUP(Y306,[1]rpk!$B:$B,[1]rpk!$A:$A)</f>
        <v>SHRI_KAMAKHYA_B2B</v>
      </c>
      <c r="Y306" t="s">
        <v>1541</v>
      </c>
      <c r="Z306">
        <v>15</v>
      </c>
      <c r="AA306" s="1">
        <v>1587</v>
      </c>
      <c r="AB306">
        <f>COUNTIFS(Base!$C:$C,MAPPING!X306)</f>
        <v>1</v>
      </c>
    </row>
    <row r="307" spans="3:28" x14ac:dyDescent="0.35">
      <c r="C307" t="s">
        <v>659</v>
      </c>
      <c r="D307" t="s">
        <v>61</v>
      </c>
      <c r="F307" t="s">
        <v>691</v>
      </c>
      <c r="G307" t="s">
        <v>132</v>
      </c>
      <c r="K307" s="57" t="s">
        <v>1078</v>
      </c>
      <c r="L307" s="57" t="s">
        <v>1205</v>
      </c>
      <c r="M307" s="57" t="s">
        <v>837</v>
      </c>
      <c r="N307" t="s">
        <v>1307</v>
      </c>
      <c r="X307" t="str">
        <f>_xlfn.XLOOKUP(Y307,master!M:M,master!L:L)</f>
        <v>Amruta_Herbals_B2B</v>
      </c>
      <c r="Y307" t="s">
        <v>348</v>
      </c>
      <c r="Z307">
        <v>473</v>
      </c>
      <c r="AA307" s="1">
        <v>6415</v>
      </c>
      <c r="AB307">
        <f>COUNTIFS(Base!$C:$C,MAPPING!X307)</f>
        <v>1</v>
      </c>
    </row>
    <row r="308" spans="3:28" x14ac:dyDescent="0.35">
      <c r="C308" t="s">
        <v>565</v>
      </c>
      <c r="D308" t="s">
        <v>62</v>
      </c>
      <c r="F308" t="s">
        <v>692</v>
      </c>
      <c r="G308" t="s">
        <v>133</v>
      </c>
      <c r="K308" s="57" t="s">
        <v>762</v>
      </c>
      <c r="L308" s="57" t="s">
        <v>1263</v>
      </c>
      <c r="M308" s="57" t="s">
        <v>837</v>
      </c>
      <c r="N308" t="s">
        <v>1282</v>
      </c>
      <c r="X308" t="str">
        <f>_xlfn.XLOOKUP(Y308,master!M:M,master!L:L)</f>
        <v>ZIPYPOST_B2B</v>
      </c>
      <c r="Y308" t="s">
        <v>383</v>
      </c>
      <c r="Z308">
        <v>615</v>
      </c>
      <c r="AA308" s="1">
        <v>14567</v>
      </c>
      <c r="AB308">
        <f>COUNTIFS(Base!$C:$C,MAPPING!X308)</f>
        <v>1</v>
      </c>
    </row>
    <row r="309" spans="3:28" x14ac:dyDescent="0.35">
      <c r="C309" t="s">
        <v>660</v>
      </c>
      <c r="D309" t="s">
        <v>63</v>
      </c>
      <c r="F309" t="s">
        <v>693</v>
      </c>
      <c r="G309" t="s">
        <v>135</v>
      </c>
      <c r="K309" s="57" t="s">
        <v>1059</v>
      </c>
      <c r="L309" s="57" t="s">
        <v>78</v>
      </c>
      <c r="M309" s="57" t="s">
        <v>828</v>
      </c>
      <c r="N309" t="s">
        <v>1312</v>
      </c>
      <c r="X309" t="str">
        <f>_xlfn.XLOOKUP(Y309,[1]rpk!$B:$B,[1]rpk!$A:$A)</f>
        <v>TEC_LOG_B2B</v>
      </c>
      <c r="Y309" t="s">
        <v>1466</v>
      </c>
      <c r="Z309" s="1">
        <v>1661</v>
      </c>
      <c r="AA309" s="1">
        <v>24010</v>
      </c>
      <c r="AB309">
        <f>COUNTIFS(Base!$C:$C,MAPPING!X309)</f>
        <v>1</v>
      </c>
    </row>
    <row r="310" spans="3:28" x14ac:dyDescent="0.35">
      <c r="C310" t="s">
        <v>449</v>
      </c>
      <c r="D310" t="s">
        <v>64</v>
      </c>
      <c r="F310" t="s">
        <v>694</v>
      </c>
      <c r="G310" t="s">
        <v>137</v>
      </c>
      <c r="K310" s="57" t="s">
        <v>1087</v>
      </c>
      <c r="L310" s="57" t="s">
        <v>1206</v>
      </c>
      <c r="M310" s="57" t="s">
        <v>1219</v>
      </c>
      <c r="N310" t="s">
        <v>1315</v>
      </c>
      <c r="X310" t="str">
        <f>_xlfn.XLOOKUP(Y310,master!M:M,master!L:L)</f>
        <v>EZYII_EXIM_B2B</v>
      </c>
      <c r="Y310" t="s">
        <v>354</v>
      </c>
      <c r="Z310">
        <v>154</v>
      </c>
      <c r="AA310" s="1">
        <v>2848</v>
      </c>
      <c r="AB310">
        <f>COUNTIFS(Base!$C:$C,MAPPING!X310)</f>
        <v>1</v>
      </c>
    </row>
    <row r="311" spans="3:28" x14ac:dyDescent="0.35">
      <c r="C311" t="s">
        <v>661</v>
      </c>
      <c r="D311" t="s">
        <v>65</v>
      </c>
      <c r="F311" t="s">
        <v>695</v>
      </c>
      <c r="G311" t="s">
        <v>138</v>
      </c>
      <c r="K311" s="57" t="s">
        <v>1077</v>
      </c>
      <c r="L311" s="57" t="s">
        <v>58</v>
      </c>
      <c r="M311" s="57" t="s">
        <v>827</v>
      </c>
      <c r="N311" t="s">
        <v>1062</v>
      </c>
      <c r="X311" t="str">
        <f>_xlfn.XLOOKUP(Y311,master!M:M,master!L:L)</f>
        <v>BRAND_POWER_B2B</v>
      </c>
      <c r="Y311" t="s">
        <v>886</v>
      </c>
      <c r="Z311" s="1">
        <v>2968</v>
      </c>
      <c r="AA311" s="1">
        <v>39153</v>
      </c>
      <c r="AB311">
        <f>COUNTIFS(Base!$C:$C,MAPPING!X311)</f>
        <v>1</v>
      </c>
    </row>
    <row r="312" spans="3:28" x14ac:dyDescent="0.35">
      <c r="C312" t="s">
        <v>613</v>
      </c>
      <c r="D312" t="s">
        <v>66</v>
      </c>
      <c r="F312" t="s">
        <v>696</v>
      </c>
      <c r="G312" t="s">
        <v>140</v>
      </c>
      <c r="K312" s="57" t="s">
        <v>1143</v>
      </c>
      <c r="L312" s="57" t="s">
        <v>1207</v>
      </c>
      <c r="M312" s="57" t="s">
        <v>1219</v>
      </c>
      <c r="N312" t="s">
        <v>1296</v>
      </c>
      <c r="X312" t="str">
        <f>_xlfn.XLOOKUP(Y312,master!M:M,master!L:L)</f>
        <v>QUIXGO_B2B</v>
      </c>
      <c r="Y312" t="s">
        <v>342</v>
      </c>
      <c r="Z312">
        <v>48</v>
      </c>
      <c r="AA312" s="1">
        <v>1668</v>
      </c>
      <c r="AB312">
        <f>COUNTIFS(Base!$C:$C,MAPPING!X312)</f>
        <v>1</v>
      </c>
    </row>
    <row r="313" spans="3:28" x14ac:dyDescent="0.35">
      <c r="C313" t="s">
        <v>662</v>
      </c>
      <c r="D313" t="s">
        <v>67</v>
      </c>
      <c r="F313" t="s">
        <v>697</v>
      </c>
      <c r="G313" t="s">
        <v>141</v>
      </c>
      <c r="K313" s="57" t="s">
        <v>1264</v>
      </c>
      <c r="L313" s="57" t="s">
        <v>1153</v>
      </c>
      <c r="M313" s="57" t="s">
        <v>1219</v>
      </c>
      <c r="N313" t="s">
        <v>1287</v>
      </c>
      <c r="X313" t="str">
        <f>_xlfn.XLOOKUP(Y313,master!M:M,master!L:L)</f>
        <v>MIDVISION_B2B</v>
      </c>
      <c r="Y313" t="s">
        <v>126</v>
      </c>
      <c r="Z313">
        <v>10</v>
      </c>
      <c r="AA313">
        <v>405</v>
      </c>
      <c r="AB313">
        <f>COUNTIFS(Base!$C:$C,MAPPING!X313)</f>
        <v>1</v>
      </c>
    </row>
    <row r="314" spans="3:28" x14ac:dyDescent="0.35">
      <c r="C314" t="s">
        <v>663</v>
      </c>
      <c r="D314" t="s">
        <v>68</v>
      </c>
      <c r="F314" t="s">
        <v>698</v>
      </c>
      <c r="G314" t="s">
        <v>146</v>
      </c>
      <c r="K314" s="57" t="s">
        <v>1090</v>
      </c>
      <c r="L314" s="57" t="s">
        <v>1265</v>
      </c>
      <c r="M314" s="57" t="s">
        <v>1219</v>
      </c>
      <c r="N314" t="s">
        <v>1282</v>
      </c>
      <c r="X314" t="str">
        <f>_xlfn.XLOOKUP(Y314,master!M:M,master!L:L)</f>
        <v>SPENCER_B2B</v>
      </c>
      <c r="Y314" t="s">
        <v>153</v>
      </c>
      <c r="Z314" s="1">
        <v>4270</v>
      </c>
      <c r="AA314" s="1">
        <v>51131</v>
      </c>
      <c r="AB314">
        <f>COUNTIFS(Base!$C:$C,MAPPING!X314)</f>
        <v>1</v>
      </c>
    </row>
    <row r="315" spans="3:28" x14ac:dyDescent="0.35">
      <c r="C315" t="s">
        <v>432</v>
      </c>
      <c r="D315" t="s">
        <v>69</v>
      </c>
      <c r="F315" t="s">
        <v>699</v>
      </c>
      <c r="G315" t="s">
        <v>147</v>
      </c>
      <c r="K315" s="57" t="s">
        <v>681</v>
      </c>
      <c r="L315" s="57" t="s">
        <v>116</v>
      </c>
      <c r="M315" s="57" t="s">
        <v>815</v>
      </c>
      <c r="N315" t="s">
        <v>1289</v>
      </c>
      <c r="X315" t="str">
        <f>_xlfn.XLOOKUP(Y315,master!M:M,master!L:L)</f>
        <v>HAMILTON_B2B</v>
      </c>
      <c r="Y315" t="s">
        <v>154</v>
      </c>
      <c r="Z315" s="1">
        <v>3484</v>
      </c>
      <c r="AA315" s="1">
        <v>45631</v>
      </c>
      <c r="AB315">
        <f>COUNTIFS(Base!$C:$C,MAPPING!X315)</f>
        <v>1</v>
      </c>
    </row>
    <row r="316" spans="3:28" x14ac:dyDescent="0.35">
      <c r="C316" t="s">
        <v>631</v>
      </c>
      <c r="D316" t="s">
        <v>70</v>
      </c>
      <c r="F316" t="s">
        <v>700</v>
      </c>
      <c r="G316" t="s">
        <v>151</v>
      </c>
      <c r="K316" s="57" t="s">
        <v>1081</v>
      </c>
      <c r="L316" s="57" t="s">
        <v>888</v>
      </c>
      <c r="M316" s="57" t="s">
        <v>976</v>
      </c>
      <c r="N316" t="s">
        <v>1309</v>
      </c>
      <c r="X316" t="str">
        <f>_xlfn.XLOOKUP(Y316,[1]rpk!$B:$B,[1]rpk!$A:$A)</f>
        <v>Schneider_B2B</v>
      </c>
      <c r="Y316" t="s">
        <v>370</v>
      </c>
      <c r="Z316" s="1">
        <v>101449</v>
      </c>
      <c r="AA316" s="1">
        <v>584941</v>
      </c>
      <c r="AB316">
        <f>COUNTIFS(Base!$C:$C,MAPPING!X316)</f>
        <v>1</v>
      </c>
    </row>
    <row r="317" spans="3:28" x14ac:dyDescent="0.35">
      <c r="C317" t="s">
        <v>619</v>
      </c>
      <c r="D317" t="s">
        <v>71</v>
      </c>
      <c r="F317" t="s">
        <v>701</v>
      </c>
      <c r="G317" t="s">
        <v>154</v>
      </c>
      <c r="K317" s="57" t="s">
        <v>780</v>
      </c>
      <c r="L317" s="57" t="s">
        <v>383</v>
      </c>
      <c r="M317" s="57" t="s">
        <v>837</v>
      </c>
      <c r="N317" t="s">
        <v>1297</v>
      </c>
      <c r="X317" t="str">
        <f>_xlfn.XLOOKUP(Y317,master!M:M,master!L:L)</f>
        <v>POWERLOOK_APPARELS_B2B</v>
      </c>
      <c r="Y317" t="s">
        <v>17</v>
      </c>
      <c r="Z317" s="1">
        <v>9166</v>
      </c>
      <c r="AA317" s="1">
        <v>179877</v>
      </c>
      <c r="AB317">
        <f>COUNTIFS(Base!$C:$C,MAPPING!X317)</f>
        <v>1</v>
      </c>
    </row>
    <row r="318" spans="3:28" x14ac:dyDescent="0.35">
      <c r="C318" t="s">
        <v>574</v>
      </c>
      <c r="D318" t="s">
        <v>72</v>
      </c>
      <c r="F318" t="s">
        <v>702</v>
      </c>
      <c r="G318" t="s">
        <v>159</v>
      </c>
      <c r="K318" s="57" t="s">
        <v>1132</v>
      </c>
      <c r="L318" s="57" t="s">
        <v>1209</v>
      </c>
      <c r="M318" s="57" t="s">
        <v>1219</v>
      </c>
      <c r="N318" t="s">
        <v>1283</v>
      </c>
      <c r="X318" t="str">
        <f>_xlfn.XLOOKUP(Y318,master!M:M,master!L:L)</f>
        <v>SUNLIGHT_GLOBAL_B2B</v>
      </c>
      <c r="Y318" t="s">
        <v>269</v>
      </c>
      <c r="Z318" s="1">
        <v>1592</v>
      </c>
      <c r="AA318" s="1">
        <v>12897</v>
      </c>
      <c r="AB318">
        <f>COUNTIFS(Base!$C:$C,MAPPING!X318)</f>
        <v>0</v>
      </c>
    </row>
    <row r="319" spans="3:28" x14ac:dyDescent="0.35">
      <c r="C319" t="s">
        <v>664</v>
      </c>
      <c r="D319" t="s">
        <v>73</v>
      </c>
      <c r="F319" t="s">
        <v>495</v>
      </c>
      <c r="G319" t="s">
        <v>161</v>
      </c>
      <c r="K319" s="57" t="s">
        <v>877</v>
      </c>
      <c r="L319" s="57" t="s">
        <v>878</v>
      </c>
      <c r="M319" s="57" t="s">
        <v>976</v>
      </c>
      <c r="N319" t="s">
        <v>1301</v>
      </c>
      <c r="X319" t="str">
        <f>_xlfn.XLOOKUP(Y319,[1]rpk!$B:$B,[1]rpk!$A:$A)</f>
        <v>EARTH_CRUST_B2B</v>
      </c>
      <c r="Y319" t="s">
        <v>92</v>
      </c>
      <c r="Z319">
        <v>30</v>
      </c>
      <c r="AA319">
        <v>447</v>
      </c>
      <c r="AB319">
        <f>COUNTIFS(Base!$C:$C,MAPPING!X319)</f>
        <v>1</v>
      </c>
    </row>
    <row r="320" spans="3:28" x14ac:dyDescent="0.35">
      <c r="C320" t="s">
        <v>616</v>
      </c>
      <c r="D320" t="s">
        <v>74</v>
      </c>
      <c r="F320" t="s">
        <v>703</v>
      </c>
      <c r="G320" t="s">
        <v>162</v>
      </c>
      <c r="K320" s="57" t="s">
        <v>563</v>
      </c>
      <c r="L320" s="57" t="s">
        <v>165</v>
      </c>
      <c r="M320" s="57" t="s">
        <v>833</v>
      </c>
      <c r="N320" t="s">
        <v>1396</v>
      </c>
      <c r="X320" t="str">
        <f>_xlfn.XLOOKUP(Y320,master!M:M,master!L:L)</f>
        <v>AWESOMEFAB_B2B</v>
      </c>
      <c r="Y320" t="s">
        <v>63</v>
      </c>
      <c r="Z320">
        <v>287</v>
      </c>
      <c r="AA320" s="1">
        <v>3832</v>
      </c>
      <c r="AB320">
        <f>COUNTIFS(Base!$C:$C,MAPPING!X320)</f>
        <v>1</v>
      </c>
    </row>
    <row r="321" spans="3:28" x14ac:dyDescent="0.35">
      <c r="C321" t="s">
        <v>445</v>
      </c>
      <c r="D321" t="s">
        <v>75</v>
      </c>
      <c r="F321" t="s">
        <v>704</v>
      </c>
      <c r="G321" t="s">
        <v>163</v>
      </c>
      <c r="K321" s="57" t="s">
        <v>1118</v>
      </c>
      <c r="L321" s="57" t="s">
        <v>1210</v>
      </c>
      <c r="M321" s="57" t="s">
        <v>1219</v>
      </c>
      <c r="N321" t="s">
        <v>1307</v>
      </c>
      <c r="X321" t="str">
        <f>_xlfn.XLOOKUP(Y321,master!M:M,master!L:L)</f>
        <v>VIRISA_SPORTS_B2B</v>
      </c>
      <c r="Y321" t="s">
        <v>382</v>
      </c>
      <c r="Z321" s="1">
        <v>1098</v>
      </c>
      <c r="AA321" s="1">
        <v>20368</v>
      </c>
      <c r="AB321">
        <f>COUNTIFS(Base!$C:$C,MAPPING!X321)</f>
        <v>1</v>
      </c>
    </row>
    <row r="322" spans="3:28" x14ac:dyDescent="0.35">
      <c r="C322" t="s">
        <v>665</v>
      </c>
      <c r="D322" t="s">
        <v>76</v>
      </c>
      <c r="F322" t="s">
        <v>705</v>
      </c>
      <c r="G322" t="s">
        <v>166</v>
      </c>
      <c r="K322" s="57" t="s">
        <v>532</v>
      </c>
      <c r="L322" s="57" t="s">
        <v>199</v>
      </c>
      <c r="M322" s="57" t="s">
        <v>1221</v>
      </c>
      <c r="N322" t="s">
        <v>1303</v>
      </c>
      <c r="X322" t="str">
        <f>_xlfn.XLOOKUP(Y322,[1]rpk!$B:$B,[1]rpk!$A:$A)</f>
        <v>Samara_B2B</v>
      </c>
      <c r="Y322" t="s">
        <v>68</v>
      </c>
      <c r="Z322" s="1">
        <v>1173</v>
      </c>
      <c r="AA322" s="1">
        <v>19098</v>
      </c>
      <c r="AB322">
        <f>COUNTIFS(Base!$C:$C,MAPPING!X322)</f>
        <v>1</v>
      </c>
    </row>
    <row r="323" spans="3:28" x14ac:dyDescent="0.35">
      <c r="C323" t="s">
        <v>584</v>
      </c>
      <c r="D323" t="s">
        <v>77</v>
      </c>
      <c r="F323" t="s">
        <v>706</v>
      </c>
      <c r="G323" t="s">
        <v>171</v>
      </c>
      <c r="K323" s="57" t="s">
        <v>958</v>
      </c>
      <c r="L323" s="57" t="s">
        <v>959</v>
      </c>
      <c r="M323" s="57" t="s">
        <v>976</v>
      </c>
      <c r="N323" t="s">
        <v>1329</v>
      </c>
      <c r="X323" t="str">
        <f>_xlfn.XLOOKUP(Y323,[1]rpk!$B:$B,[1]rpk!$A:$A)</f>
        <v>Century_Ply_B2B</v>
      </c>
      <c r="Y323" t="s">
        <v>1484</v>
      </c>
      <c r="Z323" s="1">
        <v>6285</v>
      </c>
      <c r="AA323" s="1">
        <v>64290</v>
      </c>
      <c r="AB323">
        <f>COUNTIFS(Base!$C:$C,MAPPING!X323)</f>
        <v>1</v>
      </c>
    </row>
    <row r="324" spans="3:28" x14ac:dyDescent="0.35">
      <c r="C324" t="s">
        <v>608</v>
      </c>
      <c r="D324" t="s">
        <v>78</v>
      </c>
      <c r="F324" t="s">
        <v>707</v>
      </c>
      <c r="G324" t="s">
        <v>172</v>
      </c>
      <c r="K324" s="57" t="s">
        <v>687</v>
      </c>
      <c r="L324" s="57" t="s">
        <v>124</v>
      </c>
      <c r="M324" s="57" t="s">
        <v>810</v>
      </c>
      <c r="N324" t="s">
        <v>1297</v>
      </c>
      <c r="X324" t="str">
        <f>_xlfn.XLOOKUP(Y324,master!M:M,master!L:L)</f>
        <v>Pageindustries_Hoskote_B2B</v>
      </c>
      <c r="Y324" t="s">
        <v>208</v>
      </c>
      <c r="Z324" s="1">
        <v>190276</v>
      </c>
      <c r="AA324" s="1">
        <v>1429574</v>
      </c>
      <c r="AB324">
        <f>COUNTIFS(Base!$C:$C,MAPPING!X324)</f>
        <v>1</v>
      </c>
    </row>
    <row r="325" spans="3:28" x14ac:dyDescent="0.35">
      <c r="C325" t="s">
        <v>666</v>
      </c>
      <c r="D325" t="s">
        <v>79</v>
      </c>
      <c r="F325" t="s">
        <v>708</v>
      </c>
      <c r="G325" t="s">
        <v>177</v>
      </c>
      <c r="K325" s="57" t="s">
        <v>883</v>
      </c>
      <c r="L325" s="57" t="s">
        <v>884</v>
      </c>
      <c r="M325" s="57" t="s">
        <v>976</v>
      </c>
      <c r="N325" t="s">
        <v>1329</v>
      </c>
      <c r="X325" t="str">
        <f>_xlfn.XLOOKUP(Y325,[1]rpk!$B:$B,[1]rpk!$A:$A)</f>
        <v>TEJAS_CARRIERS_B2B</v>
      </c>
      <c r="Y325" t="s">
        <v>166</v>
      </c>
      <c r="Z325" s="1">
        <v>1340</v>
      </c>
      <c r="AA325" s="1">
        <v>12042</v>
      </c>
      <c r="AB325">
        <f>COUNTIFS(Base!$C:$C,MAPPING!X325)</f>
        <v>1</v>
      </c>
    </row>
    <row r="326" spans="3:28" x14ac:dyDescent="0.35">
      <c r="C326" t="s">
        <v>667</v>
      </c>
      <c r="D326" t="s">
        <v>80</v>
      </c>
      <c r="F326" t="s">
        <v>709</v>
      </c>
      <c r="G326" t="s">
        <v>180</v>
      </c>
      <c r="K326" s="57" t="s">
        <v>621</v>
      </c>
      <c r="L326" s="57" t="s">
        <v>26</v>
      </c>
      <c r="M326" s="57" t="s">
        <v>1061</v>
      </c>
      <c r="N326" t="s">
        <v>1287</v>
      </c>
      <c r="X326" t="str">
        <f>_xlfn.XLOOKUP(Y326,[1]rpk!$B:$B,[1]rpk!$A:$A)</f>
        <v>BERSACHE_B2B</v>
      </c>
      <c r="Y326" t="s">
        <v>260</v>
      </c>
      <c r="Z326" s="1">
        <v>100286</v>
      </c>
      <c r="AA326" s="1">
        <v>733820</v>
      </c>
      <c r="AB326">
        <f>COUNTIFS(Base!$C:$C,MAPPING!X326)</f>
        <v>1</v>
      </c>
    </row>
    <row r="327" spans="3:28" x14ac:dyDescent="0.35">
      <c r="C327" t="s">
        <v>433</v>
      </c>
      <c r="D327" t="s">
        <v>81</v>
      </c>
      <c r="F327" t="s">
        <v>710</v>
      </c>
      <c r="G327" t="s">
        <v>190</v>
      </c>
      <c r="K327" s="57" t="s">
        <v>495</v>
      </c>
      <c r="L327" s="57" t="s">
        <v>161</v>
      </c>
      <c r="M327" s="57" t="s">
        <v>832</v>
      </c>
      <c r="N327" t="s">
        <v>1303</v>
      </c>
      <c r="X327" t="str">
        <f>_xlfn.XLOOKUP(Y327,[1]rpk!$B:$B,[1]rpk!$A:$A)</f>
        <v>BathlaAluminum_B2B</v>
      </c>
      <c r="Y327" t="s">
        <v>226</v>
      </c>
      <c r="Z327">
        <v>224</v>
      </c>
      <c r="AA327" s="1">
        <v>2790</v>
      </c>
      <c r="AB327">
        <f>COUNTIFS(Base!$C:$C,MAPPING!X327)</f>
        <v>1</v>
      </c>
    </row>
    <row r="328" spans="3:28" x14ac:dyDescent="0.35">
      <c r="C328" t="s">
        <v>668</v>
      </c>
      <c r="D328" t="s">
        <v>82</v>
      </c>
      <c r="F328" t="s">
        <v>711</v>
      </c>
      <c r="G328" t="s">
        <v>192</v>
      </c>
      <c r="K328" s="57" t="s">
        <v>1139</v>
      </c>
      <c r="L328" s="57" t="s">
        <v>1212</v>
      </c>
      <c r="M328" s="57" t="s">
        <v>1219</v>
      </c>
      <c r="N328" t="s">
        <v>1306</v>
      </c>
      <c r="X328" t="s">
        <v>511</v>
      </c>
      <c r="Y328" t="s">
        <v>232</v>
      </c>
      <c r="Z328" s="1">
        <v>41808</v>
      </c>
      <c r="AA328" s="1">
        <v>388294</v>
      </c>
      <c r="AB328">
        <f>COUNTIFS(Base!$C:$C,MAPPING!X328)</f>
        <v>1</v>
      </c>
    </row>
    <row r="329" spans="3:28" x14ac:dyDescent="0.35">
      <c r="C329" t="s">
        <v>400</v>
      </c>
      <c r="D329" t="s">
        <v>83</v>
      </c>
      <c r="F329" t="s">
        <v>712</v>
      </c>
      <c r="G329" t="s">
        <v>194</v>
      </c>
      <c r="K329" s="57" t="s">
        <v>771</v>
      </c>
      <c r="L329" s="57" t="s">
        <v>373</v>
      </c>
      <c r="M329" s="57" t="s">
        <v>1061</v>
      </c>
      <c r="N329" t="s">
        <v>1287</v>
      </c>
      <c r="X329" t="str">
        <f>_xlfn.XLOOKUP(Y329,[1]rpk!$B:$B,[1]rpk!$A:$A)</f>
        <v>Visage_Line_Personal_B2B</v>
      </c>
      <c r="Y329" t="s">
        <v>256</v>
      </c>
      <c r="Z329" s="1">
        <v>8434</v>
      </c>
      <c r="AA329" s="1">
        <v>95294</v>
      </c>
      <c r="AB329">
        <f>COUNTIFS(Base!$C:$C,MAPPING!X329)</f>
        <v>1</v>
      </c>
    </row>
    <row r="330" spans="3:28" x14ac:dyDescent="0.35">
      <c r="C330" t="s">
        <v>633</v>
      </c>
      <c r="D330" t="s">
        <v>84</v>
      </c>
      <c r="F330" t="s">
        <v>713</v>
      </c>
      <c r="G330" t="s">
        <v>195</v>
      </c>
      <c r="K330" s="57" t="s">
        <v>635</v>
      </c>
      <c r="L330" s="57" t="s">
        <v>125</v>
      </c>
      <c r="M330" s="57" t="s">
        <v>821</v>
      </c>
      <c r="N330" t="s">
        <v>1312</v>
      </c>
      <c r="X330" t="str">
        <f>_xlfn.XLOOKUP(Y330,[1]rpk!$B:$B,[1]rpk!$A:$A)</f>
        <v>SEA_TURTLE_B2B</v>
      </c>
      <c r="Y330" t="s">
        <v>273</v>
      </c>
      <c r="Z330" s="1">
        <v>9480</v>
      </c>
      <c r="AA330" s="1">
        <v>128168</v>
      </c>
      <c r="AB330">
        <f>COUNTIFS(Base!$C:$C,MAPPING!X330)</f>
        <v>1</v>
      </c>
    </row>
    <row r="331" spans="3:28" x14ac:dyDescent="0.35">
      <c r="C331" t="s">
        <v>451</v>
      </c>
      <c r="D331" t="s">
        <v>85</v>
      </c>
      <c r="F331" t="s">
        <v>714</v>
      </c>
      <c r="G331" t="s">
        <v>198</v>
      </c>
      <c r="K331" s="57" t="s">
        <v>1266</v>
      </c>
      <c r="L331" s="57" t="s">
        <v>82</v>
      </c>
      <c r="M331" s="57" t="s">
        <v>819</v>
      </c>
      <c r="N331" t="s">
        <v>1297</v>
      </c>
      <c r="X331" t="str">
        <f>_xlfn.XLOOKUP(Y331,[1]rpk!$B:$B,[1]rpk!$A:$A)</f>
        <v>SHREE_TRADERS_B2B</v>
      </c>
      <c r="Y331" t="s">
        <v>1692</v>
      </c>
      <c r="Z331" s="1">
        <v>1250</v>
      </c>
      <c r="AA331" s="1">
        <v>16879</v>
      </c>
      <c r="AB331">
        <f>COUNTIFS(Base!$C:$C,MAPPING!X331)</f>
        <v>1</v>
      </c>
    </row>
    <row r="332" spans="3:28" x14ac:dyDescent="0.35">
      <c r="C332" t="s">
        <v>586</v>
      </c>
      <c r="D332" t="s">
        <v>86</v>
      </c>
      <c r="F332" t="s">
        <v>715</v>
      </c>
      <c r="G332" t="s">
        <v>200</v>
      </c>
      <c r="K332" s="57" t="s">
        <v>1000</v>
      </c>
      <c r="L332" s="57" t="s">
        <v>82</v>
      </c>
      <c r="M332" s="57" t="s">
        <v>819</v>
      </c>
      <c r="N332" t="s">
        <v>1297</v>
      </c>
      <c r="X332" t="str">
        <f>_xlfn.XLOOKUP(Y332,master!M:M,master!L:L)</f>
        <v>KAMDHENU_B2B</v>
      </c>
      <c r="Y332" t="s">
        <v>1208</v>
      </c>
      <c r="Z332">
        <v>906</v>
      </c>
      <c r="AA332" s="1">
        <v>11519</v>
      </c>
      <c r="AB332">
        <f>COUNTIFS(Base!$C:$C,MAPPING!X332)</f>
        <v>1</v>
      </c>
    </row>
    <row r="333" spans="3:28" x14ac:dyDescent="0.35">
      <c r="C333" t="s">
        <v>669</v>
      </c>
      <c r="D333" t="s">
        <v>87</v>
      </c>
      <c r="F333" t="s">
        <v>716</v>
      </c>
      <c r="G333" t="s">
        <v>201</v>
      </c>
      <c r="K333" s="57" t="s">
        <v>1093</v>
      </c>
      <c r="L333" s="57" t="s">
        <v>1213</v>
      </c>
      <c r="M333" s="57" t="s">
        <v>1219</v>
      </c>
      <c r="N333" t="s">
        <v>1302</v>
      </c>
      <c r="X333" t="str">
        <f>_xlfn.XLOOKUP(Y333,master!M:M,master!L:L)</f>
        <v>NUTRALIFE_FOODS_B2B</v>
      </c>
      <c r="Y333" t="s">
        <v>925</v>
      </c>
      <c r="Z333">
        <v>367</v>
      </c>
      <c r="AA333" s="1">
        <v>5458</v>
      </c>
      <c r="AB333">
        <f>COUNTIFS(Base!$C:$C,MAPPING!X333)</f>
        <v>1</v>
      </c>
    </row>
    <row r="334" spans="3:28" x14ac:dyDescent="0.35">
      <c r="C334" t="s">
        <v>440</v>
      </c>
      <c r="D334" t="s">
        <v>88</v>
      </c>
      <c r="F334" t="s">
        <v>717</v>
      </c>
      <c r="G334" t="s">
        <v>207</v>
      </c>
      <c r="K334" s="57" t="s">
        <v>908</v>
      </c>
      <c r="L334" s="57" t="s">
        <v>909</v>
      </c>
      <c r="M334" s="57" t="s">
        <v>976</v>
      </c>
      <c r="N334" t="s">
        <v>1282</v>
      </c>
      <c r="X334" t="str">
        <f>_xlfn.XLOOKUP(Y334,master!M:M,master!L:L)</f>
        <v>CREATIVE_SHADOWS_B2B</v>
      </c>
      <c r="Y334" t="s">
        <v>891</v>
      </c>
      <c r="Z334">
        <v>10</v>
      </c>
      <c r="AA334" s="1">
        <v>1283</v>
      </c>
      <c r="AB334">
        <f>COUNTIFS(Base!$C:$C,MAPPING!X334)</f>
        <v>1</v>
      </c>
    </row>
    <row r="335" spans="3:28" x14ac:dyDescent="0.35">
      <c r="C335" t="s">
        <v>670</v>
      </c>
      <c r="D335" t="s">
        <v>89</v>
      </c>
      <c r="F335" t="s">
        <v>718</v>
      </c>
      <c r="G335" t="s">
        <v>212</v>
      </c>
      <c r="K335" s="57" t="s">
        <v>924</v>
      </c>
      <c r="L335" s="57" t="s">
        <v>925</v>
      </c>
      <c r="M335" s="57" t="s">
        <v>976</v>
      </c>
      <c r="N335" t="s">
        <v>1293</v>
      </c>
      <c r="X335" t="str">
        <f>_xlfn.XLOOKUP(Y335,master!M:M,master!L:L)</f>
        <v>ORIENT_PACK_B2B</v>
      </c>
      <c r="Y335" t="s">
        <v>1189</v>
      </c>
      <c r="Z335" s="1">
        <v>5284</v>
      </c>
      <c r="AA335" s="1">
        <v>41087</v>
      </c>
      <c r="AB335">
        <f>COUNTIFS(Base!$C:$C,MAPPING!X335)</f>
        <v>1</v>
      </c>
    </row>
    <row r="336" spans="3:28" x14ac:dyDescent="0.35">
      <c r="C336" t="s">
        <v>520</v>
      </c>
      <c r="D336" t="s">
        <v>90</v>
      </c>
      <c r="F336" t="s">
        <v>430</v>
      </c>
      <c r="G336" t="s">
        <v>223</v>
      </c>
      <c r="K336" s="57" t="s">
        <v>912</v>
      </c>
      <c r="L336" s="57" t="s">
        <v>913</v>
      </c>
      <c r="M336" s="57" t="s">
        <v>976</v>
      </c>
      <c r="N336" t="s">
        <v>1304</v>
      </c>
      <c r="X336" t="str">
        <f>_xlfn.XLOOKUP(Y336,[1]rpk!$B:$B,[1]rpk!$A:$A)</f>
        <v>LADHURAM_B2B</v>
      </c>
      <c r="Y336" t="s">
        <v>1584</v>
      </c>
      <c r="Z336" s="1">
        <v>15898</v>
      </c>
      <c r="AA336" s="1">
        <v>163292</v>
      </c>
      <c r="AB336">
        <f>COUNTIFS(Base!$C:$C,MAPPING!X336)</f>
        <v>1</v>
      </c>
    </row>
    <row r="337" spans="3:28" x14ac:dyDescent="0.35">
      <c r="C337" t="s">
        <v>454</v>
      </c>
      <c r="D337" t="s">
        <v>91</v>
      </c>
      <c r="F337" t="s">
        <v>719</v>
      </c>
      <c r="G337" t="s">
        <v>239</v>
      </c>
      <c r="K337" s="57" t="s">
        <v>932</v>
      </c>
      <c r="L337" s="57" t="s">
        <v>933</v>
      </c>
      <c r="M337" s="57" t="s">
        <v>976</v>
      </c>
      <c r="N337" t="s">
        <v>1300</v>
      </c>
      <c r="X337" t="str">
        <f>_xlfn.XLOOKUP(Y337,[1]rpk!$B:$B,[1]rpk!$A:$A)</f>
        <v>AJANTA_B2B</v>
      </c>
      <c r="Y337" t="s">
        <v>1667</v>
      </c>
      <c r="Z337" s="1">
        <v>6012</v>
      </c>
      <c r="AA337" s="1">
        <v>46867</v>
      </c>
      <c r="AB337">
        <f>COUNTIFS(Base!$C:$C,MAPPING!X337)</f>
        <v>1</v>
      </c>
    </row>
    <row r="338" spans="3:28" x14ac:dyDescent="0.35">
      <c r="C338" t="s">
        <v>671</v>
      </c>
      <c r="D338" t="s">
        <v>92</v>
      </c>
      <c r="F338" t="s">
        <v>720</v>
      </c>
      <c r="G338" t="s">
        <v>245</v>
      </c>
      <c r="K338" s="57" t="s">
        <v>452</v>
      </c>
      <c r="L338" s="57" t="s">
        <v>189</v>
      </c>
      <c r="M338" s="57" t="s">
        <v>1061</v>
      </c>
      <c r="N338" t="s">
        <v>1291</v>
      </c>
      <c r="X338" t="str">
        <f>_xlfn.XLOOKUP(Y338,[1]rpk!$B:$B,[1]rpk!$A:$A)</f>
        <v>ANKITA_B2B</v>
      </c>
      <c r="Y338" t="s">
        <v>1690</v>
      </c>
      <c r="Z338" s="1">
        <v>1383</v>
      </c>
      <c r="AA338" s="1">
        <v>17494</v>
      </c>
      <c r="AB338">
        <f>COUNTIFS(Base!$C:$C,MAPPING!X338)</f>
        <v>1</v>
      </c>
    </row>
    <row r="339" spans="3:28" x14ac:dyDescent="0.35">
      <c r="C339" t="s">
        <v>672</v>
      </c>
      <c r="D339" t="s">
        <v>93</v>
      </c>
      <c r="F339" t="s">
        <v>721</v>
      </c>
      <c r="G339" t="s">
        <v>249</v>
      </c>
      <c r="K339" s="57" t="s">
        <v>1050</v>
      </c>
      <c r="L339" s="57" t="s">
        <v>82</v>
      </c>
      <c r="M339" s="57" t="s">
        <v>819</v>
      </c>
      <c r="N339" t="s">
        <v>1297</v>
      </c>
      <c r="X339" t="str">
        <f>_xlfn.XLOOKUP(Y339,[1]rpk!$B:$B,[1]rpk!$A:$A)</f>
        <v>AQUAGENICS_B2B</v>
      </c>
      <c r="Y339" t="s">
        <v>1677</v>
      </c>
      <c r="Z339" s="1">
        <v>1040</v>
      </c>
      <c r="AA339" s="1">
        <v>31235</v>
      </c>
      <c r="AB339">
        <f>COUNTIFS(Base!$C:$C,MAPPING!X339)</f>
        <v>1</v>
      </c>
    </row>
    <row r="340" spans="3:28" x14ac:dyDescent="0.35">
      <c r="C340" t="s">
        <v>634</v>
      </c>
      <c r="D340" t="s">
        <v>94</v>
      </c>
      <c r="F340" t="s">
        <v>722</v>
      </c>
      <c r="G340" t="s">
        <v>269</v>
      </c>
      <c r="K340" s="57" t="s">
        <v>1026</v>
      </c>
      <c r="L340" s="57" t="s">
        <v>1228</v>
      </c>
      <c r="M340" s="57" t="s">
        <v>832</v>
      </c>
      <c r="N340" t="s">
        <v>1281</v>
      </c>
      <c r="X340" t="str">
        <f>_xlfn.XLOOKUP(Y340,[1]rpk!$B:$B,[1]rpk!$A:$A)</f>
        <v>BANDHAN_BANK_B2B</v>
      </c>
      <c r="Y340" t="s">
        <v>1639</v>
      </c>
      <c r="Z340" s="1">
        <v>3038</v>
      </c>
      <c r="AA340" s="1">
        <v>129915</v>
      </c>
      <c r="AB340">
        <f>COUNTIFS(Base!$C:$C,MAPPING!X340)</f>
        <v>1</v>
      </c>
    </row>
    <row r="341" spans="3:28" x14ac:dyDescent="0.35">
      <c r="C341" t="s">
        <v>407</v>
      </c>
      <c r="D341" t="s">
        <v>95</v>
      </c>
      <c r="F341" t="s">
        <v>723</v>
      </c>
      <c r="G341" t="s">
        <v>270</v>
      </c>
      <c r="K341" s="57" t="s">
        <v>1109</v>
      </c>
      <c r="L341" s="57" t="s">
        <v>1214</v>
      </c>
      <c r="M341" s="57" t="s">
        <v>1267</v>
      </c>
      <c r="N341" t="s">
        <v>1294</v>
      </c>
      <c r="X341" t="str">
        <f>_xlfn.XLOOKUP(Y341,[1]rpk!$B:$B,[1]rpk!$A:$A)</f>
        <v>BEAATHO_B2B</v>
      </c>
      <c r="Y341" t="s">
        <v>1714</v>
      </c>
      <c r="Z341">
        <v>85</v>
      </c>
      <c r="AA341" s="1">
        <v>1250</v>
      </c>
      <c r="AB341">
        <f>COUNTIFS(Base!$C:$C,MAPPING!X341)</f>
        <v>1</v>
      </c>
    </row>
    <row r="342" spans="3:28" x14ac:dyDescent="0.35">
      <c r="C342" t="s">
        <v>471</v>
      </c>
      <c r="D342" t="s">
        <v>96</v>
      </c>
      <c r="F342" t="s">
        <v>724</v>
      </c>
      <c r="G342" t="s">
        <v>274</v>
      </c>
      <c r="K342" s="57" t="s">
        <v>610</v>
      </c>
      <c r="L342" s="57" t="s">
        <v>144</v>
      </c>
      <c r="M342" s="57" t="s">
        <v>828</v>
      </c>
      <c r="N342" t="s">
        <v>1062</v>
      </c>
      <c r="X342" t="str">
        <f>_xlfn.XLOOKUP(Y342,[1]rpk!$B:$B,[1]rpk!$A:$A)</f>
        <v>BENESWIFT_B2B</v>
      </c>
      <c r="Y342" t="s">
        <v>1684</v>
      </c>
      <c r="Z342" s="1">
        <v>1264</v>
      </c>
      <c r="AA342" s="1">
        <v>19024</v>
      </c>
      <c r="AB342">
        <f>COUNTIFS(Base!$C:$C,MAPPING!X342)</f>
        <v>1</v>
      </c>
    </row>
    <row r="343" spans="3:28" x14ac:dyDescent="0.35">
      <c r="C343" t="s">
        <v>673</v>
      </c>
      <c r="D343" t="s">
        <v>97</v>
      </c>
      <c r="F343" t="s">
        <v>725</v>
      </c>
      <c r="G343" t="s">
        <v>275</v>
      </c>
      <c r="K343" s="57" t="s">
        <v>701</v>
      </c>
      <c r="L343" s="57" t="s">
        <v>154</v>
      </c>
      <c r="M343" s="57" t="s">
        <v>819</v>
      </c>
      <c r="N343" t="s">
        <v>1300</v>
      </c>
      <c r="X343" t="str">
        <f>_xlfn.XLOOKUP(Y343,[1]rpk!$B:$B,[1]rpk!$A:$A)</f>
        <v>BOLDFIT_B2B</v>
      </c>
      <c r="Y343" t="s">
        <v>1724</v>
      </c>
      <c r="Z343" s="1">
        <v>48784</v>
      </c>
      <c r="AA343" s="1">
        <v>491395</v>
      </c>
      <c r="AB343">
        <f>COUNTIFS(Base!$C:$C,MAPPING!X343)</f>
        <v>1</v>
      </c>
    </row>
    <row r="344" spans="3:28" x14ac:dyDescent="0.35">
      <c r="C344" t="s">
        <v>489</v>
      </c>
      <c r="D344" t="s">
        <v>98</v>
      </c>
      <c r="F344" t="s">
        <v>726</v>
      </c>
      <c r="G344" t="s">
        <v>286</v>
      </c>
      <c r="K344" s="57" t="s">
        <v>1014</v>
      </c>
      <c r="L344" s="57" t="s">
        <v>272</v>
      </c>
      <c r="M344" s="57" t="s">
        <v>828</v>
      </c>
      <c r="N344" t="s">
        <v>1303</v>
      </c>
      <c r="X344" t="str">
        <f>_xlfn.XLOOKUP(Y344,[1]rpk!$B:$B,[1]rpk!$A:$A)</f>
        <v>BLUESQUAD_B2B</v>
      </c>
      <c r="Y344" t="s">
        <v>1700</v>
      </c>
      <c r="Z344">
        <v>377</v>
      </c>
      <c r="AA344" s="1">
        <v>5987</v>
      </c>
      <c r="AB344">
        <f>COUNTIFS(Base!$C:$C,MAPPING!X344)</f>
        <v>1</v>
      </c>
    </row>
    <row r="345" spans="3:28" x14ac:dyDescent="0.35">
      <c r="C345" t="s">
        <v>500</v>
      </c>
      <c r="D345" t="s">
        <v>99</v>
      </c>
      <c r="F345" t="s">
        <v>727</v>
      </c>
      <c r="G345" t="s">
        <v>289</v>
      </c>
      <c r="K345" s="57" t="s">
        <v>742</v>
      </c>
      <c r="L345" s="57" t="s">
        <v>342</v>
      </c>
      <c r="M345" s="57" t="s">
        <v>837</v>
      </c>
      <c r="N345" t="s">
        <v>1294</v>
      </c>
      <c r="X345" t="str">
        <f>_xlfn.XLOOKUP(Y345,[1]rpk!$B:$B,[1]rpk!$A:$A)</f>
        <v>CORISE_B2B</v>
      </c>
      <c r="Y345" t="s">
        <v>1669</v>
      </c>
      <c r="Z345" s="1">
        <v>3954</v>
      </c>
      <c r="AA345" s="1">
        <v>46393</v>
      </c>
      <c r="AB345">
        <f>COUNTIFS(Base!$C:$C,MAPPING!X345)</f>
        <v>1</v>
      </c>
    </row>
    <row r="346" spans="3:28" x14ac:dyDescent="0.35">
      <c r="C346" t="s">
        <v>506</v>
      </c>
      <c r="D346" t="s">
        <v>100</v>
      </c>
      <c r="F346" t="s">
        <v>728</v>
      </c>
      <c r="G346" t="s">
        <v>292</v>
      </c>
      <c r="K346" s="57" t="s">
        <v>1268</v>
      </c>
      <c r="L346" s="57" t="s">
        <v>352</v>
      </c>
      <c r="M346" s="57" t="s">
        <v>837</v>
      </c>
      <c r="N346" t="s">
        <v>1297</v>
      </c>
      <c r="X346" t="str">
        <f>_xlfn.XLOOKUP(Y346,[1]rpk!$B:$B,[1]rpk!$A:$A)</f>
        <v>DIGITALAGE_RTV_B2B</v>
      </c>
      <c r="Y346" t="s">
        <v>1720</v>
      </c>
      <c r="Z346">
        <v>25</v>
      </c>
      <c r="AA346">
        <v>196</v>
      </c>
      <c r="AB346">
        <f>COUNTIFS(Base!$C:$C,MAPPING!X346)</f>
        <v>1</v>
      </c>
    </row>
    <row r="347" spans="3:28" x14ac:dyDescent="0.35">
      <c r="C347" t="s">
        <v>674</v>
      </c>
      <c r="D347" t="s">
        <v>101</v>
      </c>
      <c r="F347" t="s">
        <v>729</v>
      </c>
      <c r="G347" t="s">
        <v>297</v>
      </c>
      <c r="K347" s="57" t="s">
        <v>366</v>
      </c>
      <c r="L347" s="57" t="s">
        <v>366</v>
      </c>
      <c r="M347" s="57" t="s">
        <v>837</v>
      </c>
      <c r="N347" t="s">
        <v>1297</v>
      </c>
      <c r="X347" t="str">
        <f>_xlfn.XLOOKUP(Y347,[1]rpk!$B:$B,[1]rpk!$A:$A)</f>
        <v>DOOR_2_DOOR_B2B</v>
      </c>
      <c r="Y347" t="s">
        <v>1718</v>
      </c>
      <c r="Z347">
        <v>20</v>
      </c>
      <c r="AA347">
        <v>495</v>
      </c>
      <c r="AB347">
        <f>COUNTIFS(Base!$C:$C,MAPPING!X347)</f>
        <v>1</v>
      </c>
    </row>
    <row r="348" spans="3:28" x14ac:dyDescent="0.35">
      <c r="C348" t="s">
        <v>481</v>
      </c>
      <c r="D348" t="s">
        <v>102</v>
      </c>
      <c r="F348" t="s">
        <v>730</v>
      </c>
      <c r="G348" t="s">
        <v>303</v>
      </c>
      <c r="K348" s="57" t="s">
        <v>661</v>
      </c>
      <c r="L348" s="57" t="s">
        <v>995</v>
      </c>
      <c r="M348" s="57" t="s">
        <v>819</v>
      </c>
      <c r="N348" t="s">
        <v>1289</v>
      </c>
      <c r="X348" t="str">
        <f>_xlfn.XLOOKUP(Y348,[1]rpk!$B:$B,[1]rpk!$A:$A)</f>
        <v>DOT_KEY_B2B</v>
      </c>
      <c r="Y348" t="s">
        <v>1615</v>
      </c>
      <c r="Z348" s="1">
        <v>59331</v>
      </c>
      <c r="AA348" s="1">
        <v>661879</v>
      </c>
      <c r="AB348">
        <f>COUNTIFS(Base!$C:$C,MAPPING!X348)</f>
        <v>1</v>
      </c>
    </row>
    <row r="349" spans="3:28" x14ac:dyDescent="0.35">
      <c r="C349" t="e">
        <v>#N/A</v>
      </c>
      <c r="D349" t="s">
        <v>103</v>
      </c>
      <c r="F349" t="s">
        <v>731</v>
      </c>
      <c r="G349" t="s">
        <v>307</v>
      </c>
      <c r="K349" s="57" t="s">
        <v>566</v>
      </c>
      <c r="L349" s="57" t="s">
        <v>237</v>
      </c>
      <c r="M349" s="57" t="s">
        <v>1269</v>
      </c>
      <c r="N349" t="s">
        <v>1303</v>
      </c>
      <c r="X349" t="str">
        <f>_xlfn.XLOOKUP(Y349,[1]rpk!$B:$B,[1]rpk!$A:$A)</f>
        <v>EJOT-OCTAQON_B2B</v>
      </c>
      <c r="Y349" t="s">
        <v>1627</v>
      </c>
      <c r="Z349" s="1">
        <v>16489</v>
      </c>
      <c r="AA349" s="1">
        <v>224902</v>
      </c>
      <c r="AB349">
        <f>COUNTIFS(Base!$C:$C,MAPPING!X349)</f>
        <v>1</v>
      </c>
    </row>
    <row r="350" spans="3:28" x14ac:dyDescent="0.35">
      <c r="C350" t="s">
        <v>675</v>
      </c>
      <c r="D350" t="s">
        <v>104</v>
      </c>
      <c r="F350" t="s">
        <v>732</v>
      </c>
      <c r="G350" t="s">
        <v>312</v>
      </c>
      <c r="K350" s="57" t="s">
        <v>946</v>
      </c>
      <c r="L350" s="57" t="s">
        <v>947</v>
      </c>
      <c r="M350" s="57" t="s">
        <v>976</v>
      </c>
      <c r="N350" t="s">
        <v>1289</v>
      </c>
      <c r="X350" t="str">
        <f>_xlfn.XLOOKUP(Y350,[1]rpk!$B:$B,[1]rpk!$A:$A)</f>
        <v>ENCHANTE_BRANDS_B2B</v>
      </c>
      <c r="Y350" t="s">
        <v>1716</v>
      </c>
      <c r="Z350">
        <v>134</v>
      </c>
      <c r="AA350">
        <v>847</v>
      </c>
      <c r="AB350">
        <f>COUNTIFS(Base!$C:$C,MAPPING!X350)</f>
        <v>1</v>
      </c>
    </row>
    <row r="351" spans="3:28" x14ac:dyDescent="0.35">
      <c r="C351" t="s">
        <v>676</v>
      </c>
      <c r="D351" t="s">
        <v>105</v>
      </c>
      <c r="F351" t="s">
        <v>733</v>
      </c>
      <c r="G351" t="s">
        <v>316</v>
      </c>
      <c r="K351" s="57" t="s">
        <v>1040</v>
      </c>
      <c r="L351" s="57" t="s">
        <v>125</v>
      </c>
      <c r="M351" s="57" t="s">
        <v>821</v>
      </c>
      <c r="N351" t="s">
        <v>1312</v>
      </c>
      <c r="X351" t="str">
        <f>_xlfn.XLOOKUP(Y351,[1]rpk!$B:$B,[1]rpk!$A:$A)</f>
        <v>GEAR_B2B</v>
      </c>
      <c r="Y351" t="s">
        <v>1623</v>
      </c>
      <c r="Z351" s="1">
        <v>18732</v>
      </c>
      <c r="AA351" s="1">
        <v>235734</v>
      </c>
      <c r="AB351">
        <f>COUNTIFS(Base!$C:$C,MAPPING!X351)</f>
        <v>1</v>
      </c>
    </row>
    <row r="352" spans="3:28" x14ac:dyDescent="0.35">
      <c r="C352" t="s">
        <v>624</v>
      </c>
      <c r="D352" t="s">
        <v>106</v>
      </c>
      <c r="F352" t="s">
        <v>734</v>
      </c>
      <c r="G352" t="s">
        <v>333</v>
      </c>
      <c r="K352" s="57" t="s">
        <v>727</v>
      </c>
      <c r="L352" s="57" t="s">
        <v>289</v>
      </c>
      <c r="M352" s="57" t="s">
        <v>828</v>
      </c>
      <c r="N352" t="s">
        <v>1284</v>
      </c>
      <c r="X352" t="str">
        <f>_xlfn.XLOOKUP(Y352,[1]rpk!$B:$B,[1]rpk!$A:$A)</f>
        <v>HYUNDAI_GLOVIS_B2B</v>
      </c>
      <c r="Y352" t="s">
        <v>1611</v>
      </c>
      <c r="Z352" s="1">
        <v>820961</v>
      </c>
      <c r="AA352" s="1">
        <v>8361860</v>
      </c>
      <c r="AB352">
        <f>COUNTIFS(Base!$C:$C,MAPPING!X352)</f>
        <v>1</v>
      </c>
    </row>
    <row r="353" spans="3:28" x14ac:dyDescent="0.35">
      <c r="C353" t="s">
        <v>483</v>
      </c>
      <c r="D353" t="s">
        <v>107</v>
      </c>
      <c r="F353" t="s">
        <v>735</v>
      </c>
      <c r="G353" t="s">
        <v>334</v>
      </c>
      <c r="K353" s="57" t="s">
        <v>608</v>
      </c>
      <c r="L353" s="57" t="s">
        <v>78</v>
      </c>
      <c r="M353" s="57" t="s">
        <v>828</v>
      </c>
      <c r="N353" t="s">
        <v>1312</v>
      </c>
      <c r="X353" t="str">
        <f>_xlfn.XLOOKUP(Y353,[1]rpk!$B:$B,[1]rpk!$A:$A)</f>
        <v>HS_STUDIO_B2B</v>
      </c>
      <c r="Y353" t="s">
        <v>1679</v>
      </c>
      <c r="Z353" s="1">
        <v>2328</v>
      </c>
      <c r="AA353" s="1">
        <v>24824</v>
      </c>
      <c r="AB353">
        <f>COUNTIFS(Base!$C:$C,MAPPING!X353)</f>
        <v>1</v>
      </c>
    </row>
    <row r="354" spans="3:28" x14ac:dyDescent="0.35">
      <c r="C354" t="s">
        <v>611</v>
      </c>
      <c r="D354" t="s">
        <v>108</v>
      </c>
      <c r="F354" t="s">
        <v>736</v>
      </c>
      <c r="G354" t="s">
        <v>335</v>
      </c>
      <c r="K354" s="57" t="s">
        <v>1082</v>
      </c>
      <c r="L354" s="57" t="s">
        <v>1215</v>
      </c>
      <c r="M354" s="57" t="s">
        <v>1219</v>
      </c>
      <c r="N354" t="s">
        <v>1305</v>
      </c>
      <c r="X354" t="str">
        <f>_xlfn.XLOOKUP(Y354,[1]rpk!$B:$B,[1]rpk!$A:$A)</f>
        <v>HYPHEN_B2B</v>
      </c>
      <c r="Y354" t="s">
        <v>1673</v>
      </c>
      <c r="Z354" s="1">
        <v>3866</v>
      </c>
      <c r="AA354" s="1">
        <v>42952</v>
      </c>
      <c r="AB354">
        <f>COUNTIFS(Base!$C:$C,MAPPING!X354)</f>
        <v>1</v>
      </c>
    </row>
    <row r="355" spans="3:28" x14ac:dyDescent="0.35">
      <c r="C355" t="s">
        <v>677</v>
      </c>
      <c r="D355" t="s">
        <v>109</v>
      </c>
      <c r="F355" t="s">
        <v>697</v>
      </c>
      <c r="G355" t="s">
        <v>336</v>
      </c>
      <c r="K355" s="57" t="s">
        <v>669</v>
      </c>
      <c r="L355" s="57" t="s">
        <v>87</v>
      </c>
      <c r="M355" s="57" t="s">
        <v>810</v>
      </c>
      <c r="N355" t="s">
        <v>1450</v>
      </c>
      <c r="X355" t="str">
        <f>_xlfn.XLOOKUP(Y355,[1]rpk!$B:$B,[1]rpk!$A:$A)</f>
        <v>JJ_MAHILA_B2B</v>
      </c>
      <c r="Y355" t="s">
        <v>1671</v>
      </c>
      <c r="Z355" s="1">
        <v>3736</v>
      </c>
      <c r="AA355" s="1">
        <v>45573</v>
      </c>
      <c r="AB355">
        <f>COUNTIFS(Base!$C:$C,MAPPING!X355)</f>
        <v>1</v>
      </c>
    </row>
    <row r="356" spans="3:28" x14ac:dyDescent="0.35">
      <c r="C356" t="s">
        <v>587</v>
      </c>
      <c r="D356" t="s">
        <v>110</v>
      </c>
      <c r="F356" t="s">
        <v>737</v>
      </c>
      <c r="G356" t="s">
        <v>337</v>
      </c>
      <c r="K356" s="57" t="s">
        <v>1083</v>
      </c>
      <c r="L356" s="57" t="s">
        <v>1084</v>
      </c>
      <c r="M356" s="57" t="s">
        <v>1219</v>
      </c>
      <c r="N356" t="s">
        <v>1305</v>
      </c>
      <c r="X356" t="str">
        <f>_xlfn.XLOOKUP(Y356,[1]rpk!$B:$B,[1]rpk!$A:$A)</f>
        <v>KING_CORE_B2B</v>
      </c>
      <c r="Y356" t="s">
        <v>1483</v>
      </c>
      <c r="Z356">
        <v>805</v>
      </c>
      <c r="AA356" s="1">
        <v>16772</v>
      </c>
      <c r="AB356">
        <f>COUNTIFS(Base!$C:$C,MAPPING!X356)</f>
        <v>1</v>
      </c>
    </row>
    <row r="357" spans="3:28" x14ac:dyDescent="0.35">
      <c r="C357" t="s">
        <v>491</v>
      </c>
      <c r="D357" t="s">
        <v>111</v>
      </c>
      <c r="F357" t="s">
        <v>738</v>
      </c>
      <c r="G357" t="s">
        <v>338</v>
      </c>
      <c r="K357" s="57" t="s">
        <v>1270</v>
      </c>
      <c r="L357" s="57" t="s">
        <v>352</v>
      </c>
      <c r="M357" s="57" t="s">
        <v>837</v>
      </c>
      <c r="N357" t="s">
        <v>1297</v>
      </c>
      <c r="X357" t="str">
        <f>_xlfn.XLOOKUP(Y357,[1]rpk!$B:$B,[1]rpk!$A:$A)</f>
        <v>KONICA_CHN_PRN_B2B</v>
      </c>
      <c r="Y357" t="s">
        <v>1617</v>
      </c>
      <c r="Z357" s="1">
        <v>32762</v>
      </c>
      <c r="AA357" s="1">
        <v>553953</v>
      </c>
      <c r="AB357">
        <f>COUNTIFS(Base!$C:$C,MAPPING!X357)</f>
        <v>1</v>
      </c>
    </row>
    <row r="358" spans="3:28" x14ac:dyDescent="0.35">
      <c r="C358" t="s">
        <v>678</v>
      </c>
      <c r="D358" t="s">
        <v>112</v>
      </c>
      <c r="F358" t="s">
        <v>739</v>
      </c>
      <c r="G358" t="s">
        <v>339</v>
      </c>
      <c r="K358" s="57" t="s">
        <v>1271</v>
      </c>
      <c r="L358" s="57" t="s">
        <v>352</v>
      </c>
      <c r="M358" s="57" t="s">
        <v>837</v>
      </c>
      <c r="N358" t="s">
        <v>1297</v>
      </c>
      <c r="X358" t="str">
        <f>_xlfn.XLOOKUP(Y358,[1]rpk!$B:$B,[1]rpk!$A:$A)</f>
        <v>MK_INCORP_B2B</v>
      </c>
      <c r="Y358" t="s">
        <v>1675</v>
      </c>
      <c r="Z358" s="1">
        <v>1797</v>
      </c>
      <c r="AA358" s="1">
        <v>31342</v>
      </c>
      <c r="AB358">
        <f>COUNTIFS(Base!$C:$C,MAPPING!X358)</f>
        <v>1</v>
      </c>
    </row>
    <row r="359" spans="3:28" x14ac:dyDescent="0.35">
      <c r="C359" t="s">
        <v>679</v>
      </c>
      <c r="D359" t="s">
        <v>113</v>
      </c>
      <c r="F359" t="s">
        <v>740</v>
      </c>
      <c r="G359" t="s">
        <v>340</v>
      </c>
      <c r="K359" s="57" t="s">
        <v>887</v>
      </c>
      <c r="L359" s="57" t="s">
        <v>888</v>
      </c>
      <c r="M359" s="57" t="s">
        <v>976</v>
      </c>
      <c r="N359" t="s">
        <v>1309</v>
      </c>
      <c r="X359" t="str">
        <f>_xlfn.XLOOKUP(Y359,[1]rpk!$B:$B,[1]rpk!$A:$A)</f>
        <v>MARKS&amp;SPENCER_B2B</v>
      </c>
      <c r="Y359" t="s">
        <v>1637</v>
      </c>
      <c r="Z359" s="1">
        <v>14211</v>
      </c>
      <c r="AA359" s="1">
        <v>136955</v>
      </c>
      <c r="AB359">
        <f>COUNTIFS(Base!$C:$C,MAPPING!X359)</f>
        <v>1</v>
      </c>
    </row>
    <row r="360" spans="3:28" x14ac:dyDescent="0.35">
      <c r="C360" t="s">
        <v>464</v>
      </c>
      <c r="D360" t="s">
        <v>114</v>
      </c>
      <c r="F360" t="s">
        <v>741</v>
      </c>
      <c r="G360" t="s">
        <v>341</v>
      </c>
      <c r="K360" s="57" t="s">
        <v>765</v>
      </c>
      <c r="L360" s="57" t="s">
        <v>366</v>
      </c>
      <c r="M360" s="57" t="s">
        <v>837</v>
      </c>
      <c r="N360" t="s">
        <v>1297</v>
      </c>
      <c r="X360" t="str">
        <f>_xlfn.XLOOKUP(Y360,[1]rpk!$B:$B,[1]rpk!$A:$A)</f>
        <v>MOUNTHILLS_B2B</v>
      </c>
      <c r="Y360" t="s">
        <v>1619</v>
      </c>
      <c r="Z360" s="1">
        <v>39114</v>
      </c>
      <c r="AA360" s="1">
        <v>408365</v>
      </c>
      <c r="AB360">
        <f>COUNTIFS(Base!$C:$C,MAPPING!X360)</f>
        <v>1</v>
      </c>
    </row>
    <row r="361" spans="3:28" x14ac:dyDescent="0.35">
      <c r="C361" t="s">
        <v>680</v>
      </c>
      <c r="D361" t="s">
        <v>115</v>
      </c>
      <c r="F361" t="s">
        <v>742</v>
      </c>
      <c r="G361" t="s">
        <v>342</v>
      </c>
      <c r="K361" s="57" t="s">
        <v>954</v>
      </c>
      <c r="L361" s="57" t="s">
        <v>955</v>
      </c>
      <c r="M361" s="57" t="s">
        <v>976</v>
      </c>
      <c r="N361" t="s">
        <v>1332</v>
      </c>
      <c r="X361" t="str">
        <f>_xlfn.XLOOKUP(Y361,[1]rpk!$B:$B,[1]rpk!$A:$A)</f>
        <v>MYSTIQUE_B2B</v>
      </c>
      <c r="Y361" t="s">
        <v>1706</v>
      </c>
      <c r="Z361">
        <v>126</v>
      </c>
      <c r="AA361" s="1">
        <v>5017</v>
      </c>
      <c r="AB361">
        <f>COUNTIFS(Base!$C:$C,MAPPING!X361)</f>
        <v>1</v>
      </c>
    </row>
    <row r="362" spans="3:28" x14ac:dyDescent="0.35">
      <c r="C362" t="s">
        <v>681</v>
      </c>
      <c r="D362" t="s">
        <v>116</v>
      </c>
      <c r="F362" t="s">
        <v>743</v>
      </c>
      <c r="G362" t="s">
        <v>343</v>
      </c>
      <c r="K362" s="57" t="s">
        <v>709</v>
      </c>
      <c r="L362" s="57" t="s">
        <v>180</v>
      </c>
      <c r="M362" s="57" t="s">
        <v>815</v>
      </c>
      <c r="N362" t="s">
        <v>1313</v>
      </c>
      <c r="X362" t="str">
        <f>_xlfn.XLOOKUP(Y362,[1]rpk!$B:$B,[1]rpk!$A:$A)</f>
        <v>NARO_B2B</v>
      </c>
      <c r="Y362" t="s">
        <v>1710</v>
      </c>
      <c r="Z362">
        <v>222</v>
      </c>
      <c r="AA362" s="1">
        <v>2268</v>
      </c>
      <c r="AB362">
        <f>COUNTIFS(Base!$C:$C,MAPPING!X362)</f>
        <v>1</v>
      </c>
    </row>
    <row r="363" spans="3:28" x14ac:dyDescent="0.35">
      <c r="C363" t="s">
        <v>682</v>
      </c>
      <c r="D363" t="s">
        <v>117</v>
      </c>
      <c r="F363" t="s">
        <v>744</v>
      </c>
      <c r="G363" t="s">
        <v>344</v>
      </c>
      <c r="K363" s="57" t="s">
        <v>1272</v>
      </c>
      <c r="L363" s="57" t="s">
        <v>14</v>
      </c>
      <c r="M363" s="57" t="s">
        <v>1221</v>
      </c>
      <c r="N363" t="s">
        <v>1062</v>
      </c>
      <c r="X363" t="str">
        <f>_xlfn.XLOOKUP(Y363,[1]rpk!$B:$B,[1]rpk!$A:$A)</f>
        <v>NATURE_B2B</v>
      </c>
      <c r="Y363" t="s">
        <v>1649</v>
      </c>
      <c r="Z363" s="1">
        <v>5426</v>
      </c>
      <c r="AA363" s="1">
        <v>96598</v>
      </c>
      <c r="AB363">
        <f>COUNTIFS(Base!$C:$C,MAPPING!X363)</f>
        <v>1</v>
      </c>
    </row>
    <row r="364" spans="3:28" x14ac:dyDescent="0.35">
      <c r="C364" t="s">
        <v>546</v>
      </c>
      <c r="D364" t="s">
        <v>118</v>
      </c>
      <c r="F364" t="s">
        <v>530</v>
      </c>
      <c r="G364" t="s">
        <v>345</v>
      </c>
      <c r="K364" s="57" t="s">
        <v>497</v>
      </c>
      <c r="L364" s="57" t="s">
        <v>155</v>
      </c>
      <c r="M364" s="57" t="s">
        <v>1061</v>
      </c>
      <c r="N364" t="s">
        <v>1407</v>
      </c>
      <c r="X364" t="str">
        <f>_xlfn.XLOOKUP(Y364,[1]rpk!$B:$B,[1]rpk!$A:$A)</f>
        <v>NUTRABAY_B2B</v>
      </c>
      <c r="Y364" t="s">
        <v>1665</v>
      </c>
      <c r="Z364" s="1">
        <v>2628</v>
      </c>
      <c r="AA364" s="1">
        <v>52053</v>
      </c>
      <c r="AB364">
        <f>COUNTIFS(Base!$C:$C,MAPPING!X364)</f>
        <v>1</v>
      </c>
    </row>
    <row r="365" spans="3:28" x14ac:dyDescent="0.35">
      <c r="C365" t="s">
        <v>683</v>
      </c>
      <c r="D365" t="s">
        <v>119</v>
      </c>
      <c r="F365" t="s">
        <v>745</v>
      </c>
      <c r="G365" t="s">
        <v>346</v>
      </c>
      <c r="K365" s="57" t="s">
        <v>1273</v>
      </c>
      <c r="L365" s="57" t="s">
        <v>1218</v>
      </c>
      <c r="M365" s="57" t="s">
        <v>810</v>
      </c>
      <c r="N365" t="s">
        <v>1312</v>
      </c>
      <c r="X365" t="str">
        <f>_xlfn.XLOOKUP(Y365,[1]rpk!$B:$B,[1]rpk!$A:$A)</f>
        <v>OM_SAI_B2B</v>
      </c>
      <c r="Y365" t="s">
        <v>1633</v>
      </c>
      <c r="Z365" s="1">
        <v>15095</v>
      </c>
      <c r="AA365" s="1">
        <v>151869</v>
      </c>
      <c r="AB365">
        <f>COUNTIFS(Base!$C:$C,MAPPING!X365)</f>
        <v>1</v>
      </c>
    </row>
    <row r="366" spans="3:28" x14ac:dyDescent="0.35">
      <c r="C366" t="s">
        <v>684</v>
      </c>
      <c r="D366" t="s">
        <v>120</v>
      </c>
      <c r="F366" t="s">
        <v>746</v>
      </c>
      <c r="G366" t="s">
        <v>347</v>
      </c>
      <c r="K366" s="57" t="s">
        <v>1029</v>
      </c>
      <c r="L366" s="57" t="s">
        <v>6</v>
      </c>
      <c r="M366" s="57" t="s">
        <v>811</v>
      </c>
      <c r="N366" t="s">
        <v>1062</v>
      </c>
      <c r="X366" t="str">
        <f>_xlfn.XLOOKUP(Y366,[1]rpk!$B:$B,[1]rpk!$A:$A)</f>
        <v>ONDESK_B2B</v>
      </c>
      <c r="Y366" t="s">
        <v>1653</v>
      </c>
      <c r="Z366" s="1">
        <v>8614</v>
      </c>
      <c r="AA366" s="1">
        <v>92450</v>
      </c>
      <c r="AB366">
        <f>COUNTIFS(Base!$C:$C,MAPPING!X366)</f>
        <v>1</v>
      </c>
    </row>
    <row r="367" spans="3:28" x14ac:dyDescent="0.35">
      <c r="C367" t="s">
        <v>466</v>
      </c>
      <c r="D367" t="s">
        <v>121</v>
      </c>
      <c r="F367" t="s">
        <v>747</v>
      </c>
      <c r="G367" t="s">
        <v>348</v>
      </c>
      <c r="K367" s="57" t="s">
        <v>531</v>
      </c>
      <c r="L367" s="57" t="s">
        <v>187</v>
      </c>
      <c r="M367" s="57" t="s">
        <v>834</v>
      </c>
      <c r="N367" t="s">
        <v>1293</v>
      </c>
      <c r="X367" t="str">
        <f>_xlfn.XLOOKUP(Y367,[1]rpk!$B:$B,[1]rpk!$A:$A)</f>
        <v>PRICOL_B2B</v>
      </c>
      <c r="Y367" t="s">
        <v>1698</v>
      </c>
      <c r="Z367">
        <v>596</v>
      </c>
      <c r="AA367" s="1">
        <v>6033</v>
      </c>
      <c r="AB367">
        <f>COUNTIFS(Base!$C:$C,MAPPING!X367)</f>
        <v>1</v>
      </c>
    </row>
    <row r="368" spans="3:28" x14ac:dyDescent="0.35">
      <c r="C368" t="s">
        <v>685</v>
      </c>
      <c r="D368" t="s">
        <v>122</v>
      </c>
      <c r="F368" t="s">
        <v>748</v>
      </c>
      <c r="G368" t="s">
        <v>349</v>
      </c>
      <c r="K368" s="57" t="s">
        <v>862</v>
      </c>
      <c r="L368" s="57" t="s">
        <v>1274</v>
      </c>
      <c r="M368" s="57" t="s">
        <v>972</v>
      </c>
      <c r="N368" t="s">
        <v>1281</v>
      </c>
      <c r="X368" t="str">
        <f>_xlfn.XLOOKUP(Y368,[1]rpk!$B:$B,[1]rpk!$A:$A)</f>
        <v>RECORN_FOODS_B2B</v>
      </c>
      <c r="Y368" t="s">
        <v>1663</v>
      </c>
      <c r="Z368" s="1">
        <v>9748</v>
      </c>
      <c r="AA368" s="1">
        <v>70360</v>
      </c>
      <c r="AB368">
        <f>COUNTIFS(Base!$C:$C,MAPPING!X368)</f>
        <v>1</v>
      </c>
    </row>
    <row r="369" spans="3:28" x14ac:dyDescent="0.35">
      <c r="C369" t="s">
        <v>686</v>
      </c>
      <c r="D369" t="s">
        <v>123</v>
      </c>
      <c r="F369" t="s">
        <v>749</v>
      </c>
      <c r="G369" t="s">
        <v>350</v>
      </c>
      <c r="K369" s="57" t="s">
        <v>867</v>
      </c>
      <c r="L369" s="57" t="s">
        <v>868</v>
      </c>
      <c r="M369" s="57" t="s">
        <v>976</v>
      </c>
      <c r="N369" t="s">
        <v>1306</v>
      </c>
      <c r="X369" t="str">
        <f>_xlfn.XLOOKUP(Y369,[1]rpk!$B:$B,[1]rpk!$A:$A)</f>
        <v>RIDDHI_B2B</v>
      </c>
      <c r="Y369" t="s">
        <v>1661</v>
      </c>
      <c r="Z369" s="1">
        <v>5965</v>
      </c>
      <c r="AA369" s="1">
        <v>80038</v>
      </c>
      <c r="AB369">
        <f>COUNTIFS(Base!$C:$C,MAPPING!X369)</f>
        <v>1</v>
      </c>
    </row>
    <row r="370" spans="3:28" x14ac:dyDescent="0.35">
      <c r="C370" t="s">
        <v>687</v>
      </c>
      <c r="D370" t="s">
        <v>124</v>
      </c>
      <c r="F370" t="s">
        <v>750</v>
      </c>
      <c r="G370" t="s">
        <v>351</v>
      </c>
      <c r="K370" s="57" t="s">
        <v>589</v>
      </c>
      <c r="L370" s="57" t="s">
        <v>191</v>
      </c>
      <c r="M370" s="57" t="s">
        <v>1061</v>
      </c>
      <c r="N370" t="s">
        <v>1292</v>
      </c>
      <c r="X370" t="str">
        <f>_xlfn.XLOOKUP(Y370,[1]rpk!$B:$B,[1]rpk!$A:$A)</f>
        <v>SAFETAKE_B2B</v>
      </c>
      <c r="Y370" t="s">
        <v>1712</v>
      </c>
      <c r="Z370">
        <v>275</v>
      </c>
      <c r="AA370" s="1">
        <v>2221</v>
      </c>
      <c r="AB370">
        <f>COUNTIFS(Base!$C:$C,MAPPING!X370)</f>
        <v>1</v>
      </c>
    </row>
    <row r="371" spans="3:28" x14ac:dyDescent="0.35">
      <c r="C371" t="s">
        <v>635</v>
      </c>
      <c r="D371" t="s">
        <v>125</v>
      </c>
      <c r="F371" t="s">
        <v>751</v>
      </c>
      <c r="G371" t="s">
        <v>352</v>
      </c>
      <c r="K371" s="57" t="s">
        <v>1275</v>
      </c>
      <c r="L371" s="57" t="s">
        <v>352</v>
      </c>
      <c r="M371" s="57" t="s">
        <v>837</v>
      </c>
      <c r="N371" t="s">
        <v>1297</v>
      </c>
      <c r="X371" t="str">
        <f>_xlfn.XLOOKUP(Y371,[1]rpk!$B:$B,[1]rpk!$A:$A)</f>
        <v>SANKET_B2B</v>
      </c>
      <c r="Y371" t="s">
        <v>1696</v>
      </c>
      <c r="Z371">
        <v>710</v>
      </c>
      <c r="AA371" s="1">
        <v>6648</v>
      </c>
      <c r="AB371">
        <f>COUNTIFS(Base!$C:$C,MAPPING!X371)</f>
        <v>1</v>
      </c>
    </row>
    <row r="372" spans="3:28" x14ac:dyDescent="0.35">
      <c r="C372" t="s">
        <v>585</v>
      </c>
      <c r="D372" t="s">
        <v>126</v>
      </c>
      <c r="F372" t="s">
        <v>752</v>
      </c>
      <c r="G372" t="s">
        <v>353</v>
      </c>
      <c r="K372" s="57" t="s">
        <v>1028</v>
      </c>
      <c r="L372" s="57" t="s">
        <v>105</v>
      </c>
      <c r="M372" s="57" t="s">
        <v>815</v>
      </c>
      <c r="N372" t="s">
        <v>1287</v>
      </c>
      <c r="X372" t="str">
        <f>_xlfn.XLOOKUP(Y372,[1]rpk!$B:$B,[1]rpk!$A:$A)</f>
        <v>SAWAN_B2B</v>
      </c>
      <c r="Y372" t="s">
        <v>1651</v>
      </c>
      <c r="Z372" s="1">
        <v>8542</v>
      </c>
      <c r="AA372" s="1">
        <v>96119</v>
      </c>
      <c r="AB372">
        <f>COUNTIFS(Base!$C:$C,MAPPING!X372)</f>
        <v>1</v>
      </c>
    </row>
    <row r="373" spans="3:28" x14ac:dyDescent="0.35">
      <c r="C373" t="s">
        <v>688</v>
      </c>
      <c r="D373" t="s">
        <v>127</v>
      </c>
      <c r="F373" t="s">
        <v>753</v>
      </c>
      <c r="G373" t="s">
        <v>354</v>
      </c>
      <c r="K373" s="57" t="s">
        <v>896</v>
      </c>
      <c r="L373" s="57" t="s">
        <v>897</v>
      </c>
      <c r="M373" s="57" t="s">
        <v>976</v>
      </c>
      <c r="N373" t="s">
        <v>1302</v>
      </c>
      <c r="X373" t="str">
        <f>_xlfn.XLOOKUP(Y373,[1]rpk!$B:$B,[1]rpk!$A:$A)</f>
        <v>SIXTH_SENSE_B2B</v>
      </c>
      <c r="Y373" t="s">
        <v>1635</v>
      </c>
      <c r="Z373" s="1">
        <v>12858</v>
      </c>
      <c r="AA373" s="1">
        <v>149990</v>
      </c>
      <c r="AB373">
        <f>COUNTIFS(Base!$C:$C,MAPPING!X373)</f>
        <v>1</v>
      </c>
    </row>
    <row r="374" spans="3:28" x14ac:dyDescent="0.35">
      <c r="C374" t="s">
        <v>590</v>
      </c>
      <c r="D374" t="s">
        <v>128</v>
      </c>
      <c r="F374" t="s">
        <v>754</v>
      </c>
      <c r="G374" t="s">
        <v>355</v>
      </c>
      <c r="K374" s="57" t="s">
        <v>1276</v>
      </c>
      <c r="L374" s="57" t="s">
        <v>4</v>
      </c>
      <c r="M374" s="57" t="s">
        <v>1061</v>
      </c>
      <c r="N374" t="s">
        <v>1396</v>
      </c>
      <c r="X374" t="str">
        <f>_xlfn.XLOOKUP(Y374,[1]rpk!$B:$B,[1]rpk!$A:$A)</f>
        <v>OLIVEWARE_B2B</v>
      </c>
      <c r="Y374" t="s">
        <v>1647</v>
      </c>
      <c r="Z374" s="1">
        <v>11153</v>
      </c>
      <c r="AA374" s="1">
        <v>104909</v>
      </c>
      <c r="AB374">
        <f>COUNTIFS(Base!$C:$C,MAPPING!X374)</f>
        <v>1</v>
      </c>
    </row>
    <row r="375" spans="3:28" x14ac:dyDescent="0.35">
      <c r="C375" t="s">
        <v>689</v>
      </c>
      <c r="D375" t="s">
        <v>129</v>
      </c>
      <c r="F375" t="s">
        <v>755</v>
      </c>
      <c r="G375" t="s">
        <v>356</v>
      </c>
      <c r="K375" s="57" t="s">
        <v>759</v>
      </c>
      <c r="L375" s="57" t="s">
        <v>360</v>
      </c>
      <c r="M375" s="57" t="s">
        <v>837</v>
      </c>
      <c r="N375" t="s">
        <v>1301</v>
      </c>
      <c r="X375" t="str">
        <f>_xlfn.XLOOKUP(Y375,[1]rpk!$B:$B,[1]rpk!$A:$A)</f>
        <v>SUN_ORGANIC_B2B</v>
      </c>
      <c r="Y375" t="s">
        <v>1621</v>
      </c>
      <c r="Z375" s="1">
        <v>34901</v>
      </c>
      <c r="AA375" s="1">
        <v>310706</v>
      </c>
      <c r="AB375">
        <f>COUNTIFS(Base!$C:$C,MAPPING!X375)</f>
        <v>1</v>
      </c>
    </row>
    <row r="376" spans="3:28" x14ac:dyDescent="0.35">
      <c r="C376" t="s">
        <v>543</v>
      </c>
      <c r="D376" t="s">
        <v>130</v>
      </c>
      <c r="F376" t="s">
        <v>756</v>
      </c>
      <c r="G376" t="s">
        <v>357</v>
      </c>
      <c r="K376" s="57" t="s">
        <v>1433</v>
      </c>
      <c r="L376" s="57" t="s">
        <v>1151</v>
      </c>
      <c r="M376" s="57" t="s">
        <v>1219</v>
      </c>
      <c r="N376" t="s">
        <v>1289</v>
      </c>
      <c r="X376" t="str">
        <f>_xlfn.XLOOKUP(Y376,[1]rpk!$B:$B,[1]rpk!$A:$A)</f>
        <v>SVR_B2B</v>
      </c>
      <c r="Y376" t="s">
        <v>1688</v>
      </c>
      <c r="Z376" s="1">
        <v>2700</v>
      </c>
      <c r="AA376" s="1">
        <v>17705</v>
      </c>
      <c r="AB376">
        <f>COUNTIFS(Base!$C:$C,MAPPING!X376)</f>
        <v>1</v>
      </c>
    </row>
    <row r="377" spans="3:28" x14ac:dyDescent="0.35">
      <c r="C377" t="s">
        <v>690</v>
      </c>
      <c r="D377" t="s">
        <v>131</v>
      </c>
      <c r="F377" t="s">
        <v>757</v>
      </c>
      <c r="G377" t="s">
        <v>358</v>
      </c>
      <c r="K377" s="57" t="s">
        <v>1473</v>
      </c>
      <c r="L377" s="57" t="s">
        <v>1386</v>
      </c>
      <c r="M377" s="57" t="s">
        <v>1394</v>
      </c>
      <c r="N377" t="s">
        <v>1301</v>
      </c>
      <c r="X377" t="str">
        <f>_xlfn.XLOOKUP(Y377,[1]rpk!$B:$B,[1]rpk!$A:$A)</f>
        <v>TITAN_WAT_BNG_B2B</v>
      </c>
      <c r="Y377" t="s">
        <v>1613</v>
      </c>
      <c r="Z377" s="1">
        <v>99810</v>
      </c>
      <c r="AA377" s="1">
        <v>1089887</v>
      </c>
      <c r="AB377">
        <f>COUNTIFS(Base!$C:$C,MAPPING!X377)</f>
        <v>1</v>
      </c>
    </row>
    <row r="378" spans="3:28" x14ac:dyDescent="0.35">
      <c r="C378" t="s">
        <v>691</v>
      </c>
      <c r="D378" t="s">
        <v>132</v>
      </c>
      <c r="F378" t="s">
        <v>758</v>
      </c>
      <c r="G378" t="s">
        <v>359</v>
      </c>
      <c r="K378" s="57" t="s">
        <v>1446</v>
      </c>
      <c r="L378" s="57" t="s">
        <v>1364</v>
      </c>
      <c r="M378" s="57" t="s">
        <v>1394</v>
      </c>
      <c r="N378" t="s">
        <v>1315</v>
      </c>
      <c r="X378" t="str">
        <f>_xlfn.XLOOKUP(Y378,[1]rpk!$B:$B,[1]rpk!$A:$A)</f>
        <v>TRISHA_B2B</v>
      </c>
      <c r="Y378" t="s">
        <v>1702</v>
      </c>
      <c r="Z378">
        <v>581</v>
      </c>
      <c r="AA378" s="1">
        <v>5771</v>
      </c>
      <c r="AB378">
        <f>COUNTIFS(Base!$C:$C,MAPPING!X378)</f>
        <v>1</v>
      </c>
    </row>
    <row r="379" spans="3:28" x14ac:dyDescent="0.35">
      <c r="C379" t="s">
        <v>692</v>
      </c>
      <c r="D379" t="s">
        <v>133</v>
      </c>
      <c r="F379" t="s">
        <v>759</v>
      </c>
      <c r="G379" t="s">
        <v>360</v>
      </c>
      <c r="K379" s="57" t="s">
        <v>1438</v>
      </c>
      <c r="L379" s="57" t="s">
        <v>1359</v>
      </c>
      <c r="M379" s="57" t="s">
        <v>1394</v>
      </c>
      <c r="N379" t="s">
        <v>1303</v>
      </c>
      <c r="X379" t="str">
        <f>_xlfn.XLOOKUP(Y379,[1]rpk!$B:$B,[1]rpk!$A:$A)</f>
        <v>TYNOR_B2B</v>
      </c>
      <c r="Y379" t="s">
        <v>1629</v>
      </c>
      <c r="Z379" s="1">
        <v>6462</v>
      </c>
      <c r="AA379" s="1">
        <v>219821</v>
      </c>
      <c r="AB379">
        <f>COUNTIFS(Base!$C:$C,MAPPING!X379)</f>
        <v>1</v>
      </c>
    </row>
    <row r="380" spans="3:28" x14ac:dyDescent="0.35">
      <c r="C380" t="s">
        <v>561</v>
      </c>
      <c r="D380" t="s">
        <v>134</v>
      </c>
      <c r="F380" t="s">
        <v>760</v>
      </c>
      <c r="G380" t="s">
        <v>361</v>
      </c>
      <c r="K380" s="57" t="s">
        <v>1406</v>
      </c>
      <c r="L380" s="57" t="s">
        <v>1342</v>
      </c>
      <c r="M380" s="57" t="s">
        <v>1394</v>
      </c>
      <c r="N380" t="s">
        <v>1287</v>
      </c>
      <c r="X380" t="str">
        <f>_xlfn.XLOOKUP(Y380,[1]rpk!$B:$B,[1]rpk!$A:$A)</f>
        <v>UNIVERSAL_B2B</v>
      </c>
      <c r="Y380" t="s">
        <v>1643</v>
      </c>
      <c r="Z380" s="1">
        <v>12418</v>
      </c>
      <c r="AA380" s="1">
        <v>111828</v>
      </c>
      <c r="AB380">
        <f>COUNTIFS(Base!$C:$C,MAPPING!X380)</f>
        <v>1</v>
      </c>
    </row>
    <row r="381" spans="3:28" x14ac:dyDescent="0.35">
      <c r="C381" t="s">
        <v>693</v>
      </c>
      <c r="D381" t="s">
        <v>135</v>
      </c>
      <c r="F381" t="s">
        <v>761</v>
      </c>
      <c r="G381" t="s">
        <v>362</v>
      </c>
      <c r="K381" s="57" t="s">
        <v>1399</v>
      </c>
      <c r="L381" s="57" t="s">
        <v>1338</v>
      </c>
      <c r="M381" s="57" t="s">
        <v>1394</v>
      </c>
      <c r="N381" t="s">
        <v>1282</v>
      </c>
      <c r="X381" t="str">
        <f>_xlfn.XLOOKUP(Y381,[1]rpk!$B:$B,[1]rpk!$A:$A)</f>
        <v>USANA_B2B</v>
      </c>
      <c r="Y381" t="s">
        <v>1694</v>
      </c>
      <c r="Z381">
        <v>562</v>
      </c>
      <c r="AA381" s="1">
        <v>16387</v>
      </c>
      <c r="AB381">
        <f>COUNTIFS(Base!$C:$C,MAPPING!X381)</f>
        <v>1</v>
      </c>
    </row>
    <row r="382" spans="3:28" x14ac:dyDescent="0.35">
      <c r="C382" t="s">
        <v>528</v>
      </c>
      <c r="D382" t="s">
        <v>136</v>
      </c>
      <c r="F382" t="s">
        <v>762</v>
      </c>
      <c r="G382" t="s">
        <v>363</v>
      </c>
      <c r="K382" s="57" t="s">
        <v>1441</v>
      </c>
      <c r="L382" s="57" t="s">
        <v>1361</v>
      </c>
      <c r="M382" s="57" t="s">
        <v>1394</v>
      </c>
      <c r="N382" t="s">
        <v>1283</v>
      </c>
      <c r="X382" t="str">
        <f>_xlfn.XLOOKUP(Y382,[1]rpk!$B:$B,[1]rpk!$A:$A)</f>
        <v>VIDYA_WIRES_B2B</v>
      </c>
      <c r="Y382" t="s">
        <v>1686</v>
      </c>
      <c r="Z382" s="1">
        <v>2623</v>
      </c>
      <c r="AA382" s="1">
        <v>18270</v>
      </c>
      <c r="AB382">
        <f>COUNTIFS(Base!$C:$C,MAPPING!X382)</f>
        <v>1</v>
      </c>
    </row>
    <row r="383" spans="3:28" x14ac:dyDescent="0.35">
      <c r="C383" t="s">
        <v>694</v>
      </c>
      <c r="D383" t="s">
        <v>137</v>
      </c>
      <c r="F383" t="s">
        <v>763</v>
      </c>
      <c r="G383" t="s">
        <v>364</v>
      </c>
      <c r="K383" s="57" t="s">
        <v>445</v>
      </c>
      <c r="L383" s="57" t="s">
        <v>75</v>
      </c>
      <c r="M383" s="57" t="s">
        <v>1061</v>
      </c>
      <c r="N383" t="s">
        <v>1062</v>
      </c>
      <c r="X383" t="str">
        <f>_xlfn.XLOOKUP(Y383,[1]rpk!$B:$B,[1]rpk!$A:$A)</f>
        <v>GARUDA_B2B</v>
      </c>
      <c r="Y383" t="s">
        <v>1659</v>
      </c>
      <c r="Z383">
        <v>1066</v>
      </c>
      <c r="AA383">
        <v>80955.077999999994</v>
      </c>
      <c r="AB383">
        <f>COUNTIFS(Base!$C:$C,MAPPING!X383)</f>
        <v>1</v>
      </c>
    </row>
    <row r="384" spans="3:28" x14ac:dyDescent="0.35">
      <c r="C384" t="s">
        <v>695</v>
      </c>
      <c r="D384" t="s">
        <v>138</v>
      </c>
      <c r="F384" t="s">
        <v>764</v>
      </c>
      <c r="G384" t="s">
        <v>365</v>
      </c>
      <c r="K384" s="57" t="s">
        <v>1423</v>
      </c>
      <c r="L384" s="57" t="s">
        <v>1351</v>
      </c>
      <c r="M384" s="57" t="s">
        <v>1394</v>
      </c>
      <c r="N384" t="s">
        <v>1282</v>
      </c>
      <c r="X384" t="str">
        <f>_xlfn.XLOOKUP(Y384,[1]rpk!$B:$B,[1]rpk!$A:$A)</f>
        <v>KANHA_B2B</v>
      </c>
      <c r="Y384" t="s">
        <v>1625</v>
      </c>
      <c r="Z384">
        <v>20526</v>
      </c>
      <c r="AA384">
        <v>227365.15</v>
      </c>
      <c r="AB384">
        <f>COUNTIFS(Base!$C:$C,MAPPING!X384)</f>
        <v>1</v>
      </c>
    </row>
    <row r="385" spans="3:28" x14ac:dyDescent="0.35">
      <c r="C385" t="s">
        <v>539</v>
      </c>
      <c r="D385" t="s">
        <v>139</v>
      </c>
      <c r="F385" t="s">
        <v>765</v>
      </c>
      <c r="G385" t="s">
        <v>366</v>
      </c>
      <c r="K385" s="57" t="s">
        <v>1449</v>
      </c>
      <c r="L385" s="57" t="s">
        <v>1367</v>
      </c>
      <c r="M385" s="57" t="s">
        <v>1394</v>
      </c>
      <c r="N385" t="s">
        <v>1287</v>
      </c>
      <c r="X385" t="str">
        <f>_xlfn.XLOOKUP(Y385,[1]rpk!$B:$B,[1]rpk!$A:$A)</f>
        <v>KARGOSERVE_B2B</v>
      </c>
      <c r="Y385" t="s">
        <v>1708</v>
      </c>
      <c r="Z385">
        <v>268</v>
      </c>
      <c r="AA385">
        <v>3060</v>
      </c>
      <c r="AB385">
        <f>COUNTIFS(Base!$C:$C,MAPPING!X385)</f>
        <v>1</v>
      </c>
    </row>
    <row r="386" spans="3:28" x14ac:dyDescent="0.35">
      <c r="C386" t="s">
        <v>696</v>
      </c>
      <c r="D386" t="s">
        <v>140</v>
      </c>
      <c r="F386" t="s">
        <v>766</v>
      </c>
      <c r="G386" t="s">
        <v>367</v>
      </c>
      <c r="K386" s="57" t="s">
        <v>427</v>
      </c>
      <c r="L386" s="57" t="s">
        <v>206</v>
      </c>
      <c r="M386" s="57" t="s">
        <v>1416</v>
      </c>
      <c r="N386" t="s">
        <v>1292</v>
      </c>
      <c r="X386" t="str">
        <f>_xlfn.XLOOKUP(Y386,[1]rpk!$B:$B,[1]rpk!$A:$A)</f>
        <v>KKCL_B2B</v>
      </c>
      <c r="Y386" t="s">
        <v>1631</v>
      </c>
      <c r="Z386">
        <v>17533</v>
      </c>
      <c r="AA386">
        <v>208527.9</v>
      </c>
      <c r="AB386">
        <f>COUNTIFS(Base!$C:$C,MAPPING!X386)</f>
        <v>1</v>
      </c>
    </row>
    <row r="387" spans="3:28" x14ac:dyDescent="0.35">
      <c r="C387" t="s">
        <v>697</v>
      </c>
      <c r="D387" t="s">
        <v>141</v>
      </c>
      <c r="F387" t="s">
        <v>767</v>
      </c>
      <c r="G387" t="s">
        <v>368</v>
      </c>
      <c r="K387" s="57" t="s">
        <v>1452</v>
      </c>
      <c r="L387" s="57" t="s">
        <v>1370</v>
      </c>
      <c r="M387" s="57" t="s">
        <v>1394</v>
      </c>
      <c r="N387" t="s">
        <v>1297</v>
      </c>
      <c r="X387" t="str">
        <f>_xlfn.XLOOKUP(Y387,[1]rpk!$B:$B,[1]rpk!$A:$A)</f>
        <v>MANANS_B2B</v>
      </c>
      <c r="Y387" t="s">
        <v>1657</v>
      </c>
      <c r="Z387">
        <v>7698</v>
      </c>
      <c r="AA387">
        <v>82502.080000000002</v>
      </c>
      <c r="AB387">
        <f>COUNTIFS(Base!$C:$C,MAPPING!X387)</f>
        <v>1</v>
      </c>
    </row>
    <row r="388" spans="3:28" x14ac:dyDescent="0.35">
      <c r="C388" t="s">
        <v>498</v>
      </c>
      <c r="D388" t="s">
        <v>142</v>
      </c>
      <c r="F388" t="s">
        <v>768</v>
      </c>
      <c r="G388" t="s">
        <v>369</v>
      </c>
      <c r="K388" s="57" t="s">
        <v>437</v>
      </c>
      <c r="L388" s="57" t="s">
        <v>181</v>
      </c>
      <c r="M388" s="57" t="s">
        <v>832</v>
      </c>
      <c r="N388" t="s">
        <v>1281</v>
      </c>
      <c r="X388" t="str">
        <f>_xlfn.XLOOKUP(Y388,[1]rpk!$B:$B,[1]rpk!$A:$A)</f>
        <v>NASH_ENERGY_B2B</v>
      </c>
      <c r="Y388" t="s">
        <v>1704</v>
      </c>
      <c r="Z388">
        <v>188</v>
      </c>
      <c r="AA388">
        <v>5561.0144</v>
      </c>
      <c r="AB388">
        <f>COUNTIFS(Base!$C:$C,MAPPING!X388)</f>
        <v>1</v>
      </c>
    </row>
    <row r="389" spans="3:28" x14ac:dyDescent="0.35">
      <c r="C389" t="s">
        <v>612</v>
      </c>
      <c r="D389" t="s">
        <v>143</v>
      </c>
      <c r="F389" t="s">
        <v>672</v>
      </c>
      <c r="G389" t="s">
        <v>370</v>
      </c>
      <c r="K389" s="57" t="s">
        <v>1458</v>
      </c>
      <c r="L389" s="57" t="s">
        <v>1375</v>
      </c>
      <c r="M389" s="57" t="s">
        <v>1394</v>
      </c>
      <c r="N389" t="s">
        <v>1288</v>
      </c>
      <c r="X389" t="str">
        <f>_xlfn.XLOOKUP(Y389,[1]rpk!$B:$B,[1]rpk!$A:$A)</f>
        <v>PT_LOGISTICS_B2B</v>
      </c>
      <c r="Y389" t="s">
        <v>1655</v>
      </c>
      <c r="Z389">
        <v>6456</v>
      </c>
      <c r="AA389">
        <v>83374.8</v>
      </c>
      <c r="AB389">
        <f>COUNTIFS(Base!$C:$C,MAPPING!X389)</f>
        <v>1</v>
      </c>
    </row>
    <row r="390" spans="3:28" x14ac:dyDescent="0.35">
      <c r="C390" t="s">
        <v>610</v>
      </c>
      <c r="D390" t="s">
        <v>144</v>
      </c>
      <c r="F390" t="s">
        <v>769</v>
      </c>
      <c r="G390" t="s">
        <v>371</v>
      </c>
      <c r="K390" s="57" t="s">
        <v>1401</v>
      </c>
      <c r="L390" s="57" t="s">
        <v>1339</v>
      </c>
      <c r="M390" s="57" t="s">
        <v>1394</v>
      </c>
      <c r="N390" t="s">
        <v>1297</v>
      </c>
      <c r="X390" t="str">
        <f>_xlfn.XLOOKUP(Y390,[1]rpk!$B:$B,[1]rpk!$A:$A)</f>
        <v>Shree_International_B2B</v>
      </c>
      <c r="Y390" t="s">
        <v>1641</v>
      </c>
      <c r="Z390">
        <v>14463</v>
      </c>
      <c r="AA390">
        <v>112301.9</v>
      </c>
      <c r="AB390">
        <f>COUNTIFS(Base!$C:$C,MAPPING!X390)</f>
        <v>1</v>
      </c>
    </row>
    <row r="391" spans="3:28" x14ac:dyDescent="0.35">
      <c r="C391" t="s">
        <v>474</v>
      </c>
      <c r="D391" t="s">
        <v>145</v>
      </c>
      <c r="F391" t="s">
        <v>770</v>
      </c>
      <c r="G391" t="s">
        <v>372</v>
      </c>
      <c r="K391" s="57" t="s">
        <v>1127</v>
      </c>
      <c r="L391" s="57" t="s">
        <v>1343</v>
      </c>
      <c r="M391" s="57" t="s">
        <v>1219</v>
      </c>
      <c r="N391" t="s">
        <v>1287</v>
      </c>
      <c r="X391" t="str">
        <f>_xlfn.XLOOKUP(Y391,[1]rpk!$B:$B,[1]rpk!$A:$A)</f>
        <v>SSIZ_B2B</v>
      </c>
      <c r="Y391" t="s">
        <v>1736</v>
      </c>
      <c r="Z391">
        <v>2125</v>
      </c>
      <c r="AA391">
        <v>32772.506000000001</v>
      </c>
      <c r="AB391">
        <f>COUNTIFS(Base!$C:$C,MAPPING!X391)</f>
        <v>1</v>
      </c>
    </row>
    <row r="392" spans="3:28" x14ac:dyDescent="0.35">
      <c r="C392" t="s">
        <v>698</v>
      </c>
      <c r="D392" t="s">
        <v>146</v>
      </c>
      <c r="F392" t="s">
        <v>771</v>
      </c>
      <c r="G392" t="s">
        <v>373</v>
      </c>
      <c r="K392" s="57" t="s">
        <v>1464</v>
      </c>
      <c r="L392" s="57" t="s">
        <v>1381</v>
      </c>
      <c r="M392" s="57" t="s">
        <v>1394</v>
      </c>
      <c r="N392" t="s">
        <v>1308</v>
      </c>
      <c r="X392" t="str">
        <f>_xlfn.XLOOKUP(Y392,[1]rpk!$B:$B,[1]rpk!$A:$A)</f>
        <v>TIME_BOUND_B2B</v>
      </c>
      <c r="Y392" t="s">
        <v>1681</v>
      </c>
      <c r="Z392">
        <v>2701</v>
      </c>
      <c r="AA392">
        <v>21517.360000000001</v>
      </c>
      <c r="AB392">
        <f>COUNTIFS(Base!$C:$C,MAPPING!X392)</f>
        <v>1</v>
      </c>
    </row>
    <row r="393" spans="3:28" x14ac:dyDescent="0.35">
      <c r="C393" t="s">
        <v>699</v>
      </c>
      <c r="D393" t="s">
        <v>147</v>
      </c>
      <c r="F393" t="s">
        <v>772</v>
      </c>
      <c r="G393" t="s">
        <v>374</v>
      </c>
      <c r="K393" s="57" t="s">
        <v>1436</v>
      </c>
      <c r="L393" s="57" t="s">
        <v>1437</v>
      </c>
      <c r="M393" s="57" t="s">
        <v>1394</v>
      </c>
      <c r="N393" t="s">
        <v>1294</v>
      </c>
      <c r="X393" t="str">
        <f>_xlfn.XLOOKUP(Y393,[1]rpk!$B:$B,[1]rpk!$A:$A)</f>
        <v>YORK_B2B</v>
      </c>
      <c r="Y393" t="s">
        <v>1645</v>
      </c>
      <c r="Z393">
        <v>10019</v>
      </c>
      <c r="AA393">
        <v>106697</v>
      </c>
      <c r="AB393">
        <f>COUNTIFS(Base!$C:$C,MAPPING!X393)</f>
        <v>1</v>
      </c>
    </row>
    <row r="394" spans="3:28" x14ac:dyDescent="0.35">
      <c r="C394" t="s">
        <v>628</v>
      </c>
      <c r="D394" t="s">
        <v>148</v>
      </c>
      <c r="F394" t="s">
        <v>773</v>
      </c>
      <c r="G394" t="s">
        <v>375</v>
      </c>
      <c r="K394" s="57" t="s">
        <v>1417</v>
      </c>
      <c r="L394" s="57" t="s">
        <v>1347</v>
      </c>
      <c r="M394" s="57" t="s">
        <v>1394</v>
      </c>
      <c r="N394" t="s">
        <v>1294</v>
      </c>
    </row>
    <row r="395" spans="3:28" x14ac:dyDescent="0.35">
      <c r="C395" t="s">
        <v>637</v>
      </c>
      <c r="D395" t="s">
        <v>149</v>
      </c>
      <c r="F395" t="s">
        <v>774</v>
      </c>
      <c r="G395" t="s">
        <v>376</v>
      </c>
      <c r="K395" s="57" t="s">
        <v>1427</v>
      </c>
      <c r="L395" s="57" t="s">
        <v>1355</v>
      </c>
      <c r="M395" s="57" t="s">
        <v>1394</v>
      </c>
      <c r="N395" t="s">
        <v>1404</v>
      </c>
    </row>
    <row r="396" spans="3:28" x14ac:dyDescent="0.35">
      <c r="C396" t="s">
        <v>503</v>
      </c>
      <c r="D396" t="s">
        <v>150</v>
      </c>
      <c r="F396" t="s">
        <v>775</v>
      </c>
      <c r="G396" t="s">
        <v>377</v>
      </c>
      <c r="K396" s="57" t="s">
        <v>1456</v>
      </c>
      <c r="L396" s="57" t="s">
        <v>1373</v>
      </c>
      <c r="M396" s="57" t="s">
        <v>1394</v>
      </c>
      <c r="N396" t="s">
        <v>1288</v>
      </c>
    </row>
    <row r="397" spans="3:28" x14ac:dyDescent="0.35">
      <c r="C397" t="s">
        <v>700</v>
      </c>
      <c r="D397" t="s">
        <v>151</v>
      </c>
      <c r="F397" t="s">
        <v>776</v>
      </c>
      <c r="G397" t="s">
        <v>378</v>
      </c>
      <c r="K397" s="57" t="s">
        <v>1470</v>
      </c>
      <c r="L397" s="57" t="s">
        <v>1384</v>
      </c>
      <c r="M397" s="57" t="s">
        <v>1394</v>
      </c>
      <c r="N397" t="s">
        <v>1312</v>
      </c>
    </row>
    <row r="398" spans="3:28" x14ac:dyDescent="0.35">
      <c r="C398" t="s">
        <v>601</v>
      </c>
      <c r="D398" t="s">
        <v>152</v>
      </c>
      <c r="F398" t="s">
        <v>777</v>
      </c>
      <c r="G398" t="s">
        <v>379</v>
      </c>
      <c r="K398" s="57" t="s">
        <v>1451</v>
      </c>
      <c r="L398" s="57" t="s">
        <v>1368</v>
      </c>
      <c r="M398" s="57" t="s">
        <v>1394</v>
      </c>
      <c r="N398" t="s">
        <v>1282</v>
      </c>
    </row>
    <row r="399" spans="3:28" x14ac:dyDescent="0.35">
      <c r="C399" t="s">
        <v>597</v>
      </c>
      <c r="D399" t="s">
        <v>153</v>
      </c>
      <c r="F399" t="s">
        <v>778</v>
      </c>
      <c r="G399" t="s">
        <v>380</v>
      </c>
      <c r="K399" s="57" t="s">
        <v>1428</v>
      </c>
      <c r="L399" s="57" t="s">
        <v>1356</v>
      </c>
      <c r="M399" s="57" t="s">
        <v>1394</v>
      </c>
      <c r="N399" t="s">
        <v>1062</v>
      </c>
    </row>
    <row r="400" spans="3:28" x14ac:dyDescent="0.35">
      <c r="C400" t="s">
        <v>701</v>
      </c>
      <c r="D400" t="s">
        <v>154</v>
      </c>
      <c r="F400" t="e">
        <v>#N/A</v>
      </c>
      <c r="G400" t="s">
        <v>381</v>
      </c>
      <c r="K400" s="57" t="s">
        <v>1414</v>
      </c>
      <c r="L400" s="57" t="s">
        <v>1484</v>
      </c>
      <c r="M400" s="57" t="e">
        <v>#N/A</v>
      </c>
      <c r="N400" t="e">
        <v>#N/A</v>
      </c>
    </row>
    <row r="401" spans="3:14" x14ac:dyDescent="0.35">
      <c r="C401" t="s">
        <v>497</v>
      </c>
      <c r="D401" t="s">
        <v>155</v>
      </c>
      <c r="F401" t="s">
        <v>779</v>
      </c>
      <c r="G401" t="s">
        <v>382</v>
      </c>
      <c r="K401" s="57" t="s">
        <v>1467</v>
      </c>
      <c r="L401" s="57" t="s">
        <v>1382</v>
      </c>
      <c r="M401" s="57" t="s">
        <v>1394</v>
      </c>
      <c r="N401" t="s">
        <v>1316</v>
      </c>
    </row>
    <row r="402" spans="3:14" x14ac:dyDescent="0.35">
      <c r="C402" t="s">
        <v>602</v>
      </c>
      <c r="D402" t="s">
        <v>156</v>
      </c>
      <c r="F402" t="s">
        <v>780</v>
      </c>
      <c r="G402" t="s">
        <v>383</v>
      </c>
      <c r="K402" s="57" t="s">
        <v>597</v>
      </c>
      <c r="L402" s="57" t="s">
        <v>153</v>
      </c>
      <c r="M402" s="57" t="s">
        <v>1061</v>
      </c>
      <c r="N402" t="s">
        <v>1062</v>
      </c>
    </row>
    <row r="403" spans="3:14" x14ac:dyDescent="0.35">
      <c r="C403" t="s">
        <v>623</v>
      </c>
      <c r="D403" t="s">
        <v>157</v>
      </c>
      <c r="F403" t="s">
        <v>781</v>
      </c>
      <c r="G403" t="s">
        <v>263</v>
      </c>
      <c r="K403" s="57" t="s">
        <v>676</v>
      </c>
      <c r="L403" s="57" t="s">
        <v>105</v>
      </c>
      <c r="M403" s="57" t="s">
        <v>815</v>
      </c>
      <c r="N403" t="s">
        <v>1287</v>
      </c>
    </row>
    <row r="404" spans="3:14" x14ac:dyDescent="0.35">
      <c r="C404" t="s">
        <v>524</v>
      </c>
      <c r="D404" t="s">
        <v>158</v>
      </c>
      <c r="F404" t="s">
        <v>475</v>
      </c>
      <c r="G404" t="s">
        <v>783</v>
      </c>
      <c r="K404" s="57" t="s">
        <v>1468</v>
      </c>
      <c r="L404" s="57" t="s">
        <v>1383</v>
      </c>
      <c r="M404" s="57" t="s">
        <v>1394</v>
      </c>
      <c r="N404" t="s">
        <v>1287</v>
      </c>
    </row>
    <row r="405" spans="3:14" x14ac:dyDescent="0.35">
      <c r="C405" t="s">
        <v>702</v>
      </c>
      <c r="D405" t="s">
        <v>159</v>
      </c>
      <c r="F405" t="s">
        <v>427</v>
      </c>
      <c r="G405" t="s">
        <v>427</v>
      </c>
      <c r="K405" s="57" t="s">
        <v>1461</v>
      </c>
      <c r="L405" s="57" t="s">
        <v>1378</v>
      </c>
      <c r="M405" s="57" t="s">
        <v>1394</v>
      </c>
      <c r="N405" t="s">
        <v>1307</v>
      </c>
    </row>
    <row r="406" spans="3:14" x14ac:dyDescent="0.35">
      <c r="C406" t="s">
        <v>426</v>
      </c>
      <c r="D406" t="s">
        <v>160</v>
      </c>
      <c r="F406" t="s">
        <v>675</v>
      </c>
      <c r="G406" t="s">
        <v>785</v>
      </c>
      <c r="K406" s="57" t="s">
        <v>1410</v>
      </c>
      <c r="L406" s="57" t="s">
        <v>1345</v>
      </c>
      <c r="M406" s="57" t="s">
        <v>1394</v>
      </c>
      <c r="N406" t="s">
        <v>1289</v>
      </c>
    </row>
    <row r="407" spans="3:14" x14ac:dyDescent="0.35">
      <c r="C407" t="s">
        <v>495</v>
      </c>
      <c r="D407" t="s">
        <v>161</v>
      </c>
      <c r="F407" t="s">
        <v>446</v>
      </c>
      <c r="G407" t="s">
        <v>446</v>
      </c>
      <c r="K407" s="57" t="s">
        <v>700</v>
      </c>
      <c r="L407" s="57" t="s">
        <v>151</v>
      </c>
      <c r="M407" s="57" t="s">
        <v>810</v>
      </c>
      <c r="N407" t="s">
        <v>1300</v>
      </c>
    </row>
    <row r="408" spans="3:14" x14ac:dyDescent="0.35">
      <c r="C408" t="s">
        <v>703</v>
      </c>
      <c r="D408" t="s">
        <v>162</v>
      </c>
      <c r="F408" t="s">
        <v>407</v>
      </c>
      <c r="G408" t="s">
        <v>786</v>
      </c>
      <c r="K408" s="57" t="s">
        <v>1448</v>
      </c>
      <c r="L408" s="57" t="s">
        <v>1366</v>
      </c>
      <c r="M408" s="57" t="s">
        <v>1394</v>
      </c>
      <c r="N408" t="s">
        <v>1296</v>
      </c>
    </row>
    <row r="409" spans="3:14" x14ac:dyDescent="0.35">
      <c r="C409" t="s">
        <v>704</v>
      </c>
      <c r="D409" t="s">
        <v>163</v>
      </c>
      <c r="F409" t="s">
        <v>590</v>
      </c>
      <c r="G409" t="s">
        <v>787</v>
      </c>
      <c r="K409" s="57" t="s">
        <v>1403</v>
      </c>
      <c r="L409" s="57" t="s">
        <v>1340</v>
      </c>
      <c r="M409" s="57" t="s">
        <v>1394</v>
      </c>
      <c r="N409" t="s">
        <v>1404</v>
      </c>
    </row>
    <row r="410" spans="3:14" x14ac:dyDescent="0.35">
      <c r="C410" t="s">
        <v>562</v>
      </c>
      <c r="D410" t="s">
        <v>164</v>
      </c>
      <c r="F410" t="s">
        <v>789</v>
      </c>
      <c r="G410" t="s">
        <v>790</v>
      </c>
      <c r="K410" s="57" t="s">
        <v>712</v>
      </c>
      <c r="L410" s="57" t="s">
        <v>194</v>
      </c>
      <c r="M410" s="57" t="s">
        <v>822</v>
      </c>
      <c r="N410" t="s">
        <v>1304</v>
      </c>
    </row>
    <row r="411" spans="3:14" x14ac:dyDescent="0.35">
      <c r="C411" t="s">
        <v>563</v>
      </c>
      <c r="D411" t="s">
        <v>165</v>
      </c>
      <c r="F411" t="s">
        <v>426</v>
      </c>
      <c r="G411" t="s">
        <v>426</v>
      </c>
      <c r="K411" s="57" t="s">
        <v>688</v>
      </c>
      <c r="L411" s="57" t="s">
        <v>127</v>
      </c>
      <c r="M411" s="57" t="s">
        <v>822</v>
      </c>
      <c r="N411" t="s">
        <v>1283</v>
      </c>
    </row>
    <row r="412" spans="3:14" x14ac:dyDescent="0.35">
      <c r="C412" t="s">
        <v>705</v>
      </c>
      <c r="D412" t="s">
        <v>166</v>
      </c>
      <c r="F412" t="s">
        <v>460</v>
      </c>
      <c r="G412" t="s">
        <v>791</v>
      </c>
      <c r="K412" s="57" t="s">
        <v>1463</v>
      </c>
      <c r="L412" s="57" t="s">
        <v>1380</v>
      </c>
      <c r="M412" s="57" t="s">
        <v>1394</v>
      </c>
      <c r="N412" t="s">
        <v>1303</v>
      </c>
    </row>
    <row r="413" spans="3:14" x14ac:dyDescent="0.35">
      <c r="C413" t="s">
        <v>604</v>
      </c>
      <c r="D413" t="s">
        <v>167</v>
      </c>
      <c r="F413" t="s">
        <v>487</v>
      </c>
      <c r="G413" t="s">
        <v>792</v>
      </c>
      <c r="K413" s="57" t="s">
        <v>1442</v>
      </c>
      <c r="L413" s="57" t="s">
        <v>1362</v>
      </c>
      <c r="M413" s="57" t="s">
        <v>1394</v>
      </c>
      <c r="N413" t="s">
        <v>1283</v>
      </c>
    </row>
    <row r="414" spans="3:14" x14ac:dyDescent="0.35">
      <c r="C414" t="s">
        <v>535</v>
      </c>
      <c r="D414" t="s">
        <v>168</v>
      </c>
      <c r="F414" t="s">
        <v>793</v>
      </c>
      <c r="G414" t="s">
        <v>794</v>
      </c>
      <c r="K414" s="57" t="s">
        <v>557</v>
      </c>
      <c r="L414" s="57" t="s">
        <v>262</v>
      </c>
      <c r="M414" s="57" t="s">
        <v>1061</v>
      </c>
      <c r="N414" t="s">
        <v>1289</v>
      </c>
    </row>
    <row r="415" spans="3:14" x14ac:dyDescent="0.35">
      <c r="C415" t="s">
        <v>550</v>
      </c>
      <c r="D415" t="s">
        <v>169</v>
      </c>
      <c r="F415" t="s">
        <v>795</v>
      </c>
      <c r="G415" t="s">
        <v>8</v>
      </c>
      <c r="K415" s="57" t="s">
        <v>1443</v>
      </c>
      <c r="L415" s="57" t="s">
        <v>1363</v>
      </c>
      <c r="M415" s="57" t="s">
        <v>1394</v>
      </c>
      <c r="N415" t="s">
        <v>1318</v>
      </c>
    </row>
    <row r="416" spans="3:14" x14ac:dyDescent="0.35">
      <c r="C416" t="s">
        <v>567</v>
      </c>
      <c r="D416" t="s">
        <v>170</v>
      </c>
      <c r="F416" t="s">
        <v>466</v>
      </c>
      <c r="G416" t="s">
        <v>796</v>
      </c>
      <c r="K416" s="57" t="s">
        <v>1418</v>
      </c>
      <c r="L416" s="57" t="s">
        <v>1348</v>
      </c>
      <c r="M416" s="57" t="s">
        <v>1394</v>
      </c>
      <c r="N416" t="s">
        <v>1302</v>
      </c>
    </row>
    <row r="417" spans="3:14" x14ac:dyDescent="0.35">
      <c r="C417" t="s">
        <v>706</v>
      </c>
      <c r="D417" t="s">
        <v>171</v>
      </c>
      <c r="F417" t="s">
        <v>491</v>
      </c>
      <c r="G417" t="s">
        <v>491</v>
      </c>
      <c r="K417" s="57" t="s">
        <v>1460</v>
      </c>
      <c r="L417" s="57" t="s">
        <v>1377</v>
      </c>
      <c r="M417" s="57" t="s">
        <v>1394</v>
      </c>
      <c r="N417" t="s">
        <v>1306</v>
      </c>
    </row>
    <row r="418" spans="3:14" x14ac:dyDescent="0.35">
      <c r="C418" t="s">
        <v>707</v>
      </c>
      <c r="D418" t="s">
        <v>172</v>
      </c>
      <c r="F418" t="s">
        <v>580</v>
      </c>
      <c r="G418" t="s">
        <v>797</v>
      </c>
      <c r="K418" s="57" t="s">
        <v>1474</v>
      </c>
      <c r="L418" s="57" t="s">
        <v>1387</v>
      </c>
      <c r="M418" s="57" t="s">
        <v>1394</v>
      </c>
      <c r="N418" t="s">
        <v>1297</v>
      </c>
    </row>
    <row r="419" spans="3:14" x14ac:dyDescent="0.35">
      <c r="C419" t="s">
        <v>606</v>
      </c>
      <c r="D419" t="s">
        <v>173</v>
      </c>
      <c r="F419" t="s">
        <v>440</v>
      </c>
      <c r="G419" t="s">
        <v>798</v>
      </c>
      <c r="K419" s="57" t="s">
        <v>1422</v>
      </c>
      <c r="L419" s="57" t="s">
        <v>1385</v>
      </c>
      <c r="M419" s="57" t="s">
        <v>1394</v>
      </c>
      <c r="N419" t="s">
        <v>1297</v>
      </c>
    </row>
    <row r="420" spans="3:14" x14ac:dyDescent="0.35">
      <c r="C420" t="s">
        <v>397</v>
      </c>
      <c r="D420" t="s">
        <v>174</v>
      </c>
      <c r="F420" t="s">
        <v>654</v>
      </c>
      <c r="G420" t="s">
        <v>799</v>
      </c>
      <c r="K420" s="57" t="s">
        <v>760</v>
      </c>
      <c r="L420" s="57" t="s">
        <v>361</v>
      </c>
      <c r="M420" s="57" t="s">
        <v>837</v>
      </c>
      <c r="N420" t="s">
        <v>1288</v>
      </c>
    </row>
    <row r="421" spans="3:14" x14ac:dyDescent="0.35">
      <c r="C421" t="s">
        <v>509</v>
      </c>
      <c r="D421" t="s">
        <v>175</v>
      </c>
      <c r="F421" t="s">
        <v>449</v>
      </c>
      <c r="G421" t="s">
        <v>800</v>
      </c>
      <c r="K421" s="57" t="s">
        <v>1419</v>
      </c>
      <c r="L421" s="57" t="s">
        <v>1349</v>
      </c>
      <c r="M421" s="57" t="s">
        <v>1394</v>
      </c>
      <c r="N421" t="s">
        <v>1311</v>
      </c>
    </row>
    <row r="422" spans="3:14" x14ac:dyDescent="0.35">
      <c r="C422" t="s">
        <v>569</v>
      </c>
      <c r="D422" t="s">
        <v>176</v>
      </c>
      <c r="F422" t="s">
        <v>396</v>
      </c>
      <c r="G422" t="s">
        <v>801</v>
      </c>
      <c r="K422" s="57" t="s">
        <v>1083</v>
      </c>
      <c r="L422" s="57" t="s">
        <v>1346</v>
      </c>
      <c r="M422" s="57" t="s">
        <v>1219</v>
      </c>
      <c r="N422" t="s">
        <v>1305</v>
      </c>
    </row>
    <row r="423" spans="3:14" x14ac:dyDescent="0.35">
      <c r="C423" t="s">
        <v>708</v>
      </c>
      <c r="D423" t="s">
        <v>177</v>
      </c>
      <c r="F423" t="s">
        <v>471</v>
      </c>
      <c r="G423" t="s">
        <v>802</v>
      </c>
      <c r="K423" s="57" t="s">
        <v>865</v>
      </c>
      <c r="L423" s="57" t="s">
        <v>866</v>
      </c>
      <c r="M423" s="57" t="s">
        <v>974</v>
      </c>
      <c r="N423" t="s">
        <v>1296</v>
      </c>
    </row>
    <row r="424" spans="3:14" x14ac:dyDescent="0.35">
      <c r="C424" t="s">
        <v>518</v>
      </c>
      <c r="D424" t="s">
        <v>178</v>
      </c>
      <c r="F424" t="s">
        <v>862</v>
      </c>
      <c r="G424" t="s">
        <v>299</v>
      </c>
      <c r="K424" s="57" t="s">
        <v>753</v>
      </c>
      <c r="L424" s="57" t="s">
        <v>354</v>
      </c>
      <c r="M424" s="57" t="s">
        <v>841</v>
      </c>
      <c r="N424" t="s">
        <v>1293</v>
      </c>
    </row>
    <row r="425" spans="3:14" x14ac:dyDescent="0.35">
      <c r="C425" t="s">
        <v>484</v>
      </c>
      <c r="D425" t="s">
        <v>179</v>
      </c>
      <c r="F425" t="s">
        <v>863</v>
      </c>
      <c r="G425" t="s">
        <v>864</v>
      </c>
      <c r="K425" s="57" t="s">
        <v>1129</v>
      </c>
      <c r="L425" s="57" t="s">
        <v>1354</v>
      </c>
      <c r="M425" s="57" t="s">
        <v>1219</v>
      </c>
      <c r="N425" t="s">
        <v>1294</v>
      </c>
    </row>
    <row r="426" spans="3:14" x14ac:dyDescent="0.35">
      <c r="C426" t="s">
        <v>709</v>
      </c>
      <c r="D426" t="s">
        <v>180</v>
      </c>
      <c r="F426" t="s">
        <v>865</v>
      </c>
      <c r="G426" t="s">
        <v>866</v>
      </c>
      <c r="K426" s="57" t="s">
        <v>1453</v>
      </c>
      <c r="L426" s="57" t="s">
        <v>1371</v>
      </c>
      <c r="M426" s="57" t="s">
        <v>1394</v>
      </c>
      <c r="N426" t="s">
        <v>1300</v>
      </c>
    </row>
    <row r="427" spans="3:14" x14ac:dyDescent="0.35">
      <c r="C427" t="s">
        <v>437</v>
      </c>
      <c r="D427" t="s">
        <v>181</v>
      </c>
      <c r="F427" t="s">
        <v>867</v>
      </c>
      <c r="G427" t="s">
        <v>868</v>
      </c>
      <c r="K427" s="57" t="s">
        <v>1430</v>
      </c>
      <c r="L427" s="57" t="s">
        <v>1358</v>
      </c>
      <c r="M427" s="57" t="s">
        <v>1394</v>
      </c>
      <c r="N427" t="s">
        <v>1288</v>
      </c>
    </row>
    <row r="428" spans="3:14" x14ac:dyDescent="0.35">
      <c r="C428" t="s">
        <v>600</v>
      </c>
      <c r="D428" t="s">
        <v>182</v>
      </c>
      <c r="F428" t="s">
        <v>869</v>
      </c>
      <c r="G428" t="s">
        <v>870</v>
      </c>
      <c r="K428" s="57" t="s">
        <v>1397</v>
      </c>
      <c r="L428" s="57" t="s">
        <v>1337</v>
      </c>
      <c r="M428" s="57" t="s">
        <v>1394</v>
      </c>
      <c r="N428" t="s">
        <v>1299</v>
      </c>
    </row>
    <row r="429" spans="3:14" x14ac:dyDescent="0.35">
      <c r="C429" t="s">
        <v>458</v>
      </c>
      <c r="D429" t="s">
        <v>183</v>
      </c>
      <c r="F429" t="s">
        <v>871</v>
      </c>
      <c r="G429" t="s">
        <v>872</v>
      </c>
      <c r="K429" s="57" t="s">
        <v>1462</v>
      </c>
      <c r="L429" s="57" t="s">
        <v>1379</v>
      </c>
      <c r="M429" s="57" t="s">
        <v>1394</v>
      </c>
      <c r="N429" t="s">
        <v>1301</v>
      </c>
    </row>
    <row r="430" spans="3:14" x14ac:dyDescent="0.35">
      <c r="C430" t="s">
        <v>622</v>
      </c>
      <c r="D430" t="s">
        <v>184</v>
      </c>
      <c r="F430" t="s">
        <v>873</v>
      </c>
      <c r="G430" t="s">
        <v>874</v>
      </c>
      <c r="K430" s="57" t="s">
        <v>1440</v>
      </c>
      <c r="L430" s="57" t="s">
        <v>1360</v>
      </c>
      <c r="M430" s="57" t="s">
        <v>1394</v>
      </c>
      <c r="N430" t="s">
        <v>1317</v>
      </c>
    </row>
    <row r="431" spans="3:14" x14ac:dyDescent="0.35">
      <c r="C431" t="s">
        <v>460</v>
      </c>
      <c r="D431" t="s">
        <v>185</v>
      </c>
      <c r="F431" t="s">
        <v>875</v>
      </c>
      <c r="G431" t="s">
        <v>876</v>
      </c>
      <c r="K431" s="57" t="s">
        <v>740</v>
      </c>
      <c r="L431" s="57" t="s">
        <v>340</v>
      </c>
      <c r="M431" s="57" t="s">
        <v>810</v>
      </c>
      <c r="N431" t="s">
        <v>1294</v>
      </c>
    </row>
    <row r="432" spans="3:14" x14ac:dyDescent="0.35">
      <c r="C432" t="s">
        <v>530</v>
      </c>
      <c r="D432" t="s">
        <v>186</v>
      </c>
      <c r="F432" t="s">
        <v>877</v>
      </c>
      <c r="G432" t="s">
        <v>878</v>
      </c>
      <c r="K432" s="57" t="s">
        <v>1447</v>
      </c>
      <c r="L432" s="57" t="s">
        <v>1365</v>
      </c>
      <c r="M432" s="57" t="s">
        <v>1394</v>
      </c>
      <c r="N432" t="s">
        <v>1304</v>
      </c>
    </row>
    <row r="433" spans="3:14" x14ac:dyDescent="0.35">
      <c r="C433" t="s">
        <v>531</v>
      </c>
      <c r="D433" t="s">
        <v>187</v>
      </c>
      <c r="F433" t="s">
        <v>879</v>
      </c>
      <c r="G433" t="s">
        <v>880</v>
      </c>
      <c r="K433" s="57" t="s">
        <v>1454</v>
      </c>
      <c r="L433" s="57" t="s">
        <v>1372</v>
      </c>
      <c r="M433" s="57" t="s">
        <v>1394</v>
      </c>
      <c r="N433" t="s">
        <v>1062</v>
      </c>
    </row>
    <row r="434" spans="3:14" x14ac:dyDescent="0.35">
      <c r="C434" t="s">
        <v>493</v>
      </c>
      <c r="D434" t="s">
        <v>188</v>
      </c>
      <c r="F434" t="s">
        <v>881</v>
      </c>
      <c r="G434" t="s">
        <v>882</v>
      </c>
      <c r="K434" s="57" t="s">
        <v>1444</v>
      </c>
      <c r="L434" s="57" t="s">
        <v>1445</v>
      </c>
      <c r="M434" s="57" t="s">
        <v>1394</v>
      </c>
      <c r="N434" t="s">
        <v>1315</v>
      </c>
    </row>
    <row r="435" spans="3:14" x14ac:dyDescent="0.35">
      <c r="C435" t="s">
        <v>452</v>
      </c>
      <c r="D435" t="s">
        <v>189</v>
      </c>
      <c r="F435" t="s">
        <v>883</v>
      </c>
      <c r="G435" t="s">
        <v>884</v>
      </c>
      <c r="K435" s="57" t="s">
        <v>1425</v>
      </c>
      <c r="L435" s="57" t="s">
        <v>1353</v>
      </c>
      <c r="M435" s="57" t="s">
        <v>1394</v>
      </c>
      <c r="N435" t="s">
        <v>1317</v>
      </c>
    </row>
    <row r="436" spans="3:14" x14ac:dyDescent="0.35">
      <c r="C436" t="s">
        <v>710</v>
      </c>
      <c r="D436" t="s">
        <v>190</v>
      </c>
      <c r="F436" t="s">
        <v>885</v>
      </c>
      <c r="G436" t="s">
        <v>886</v>
      </c>
      <c r="K436" s="57" t="s">
        <v>1457</v>
      </c>
      <c r="L436" s="57" t="s">
        <v>1374</v>
      </c>
      <c r="M436" s="57" t="s">
        <v>1394</v>
      </c>
      <c r="N436" t="s">
        <v>1404</v>
      </c>
    </row>
    <row r="437" spans="3:14" x14ac:dyDescent="0.35">
      <c r="C437" t="s">
        <v>589</v>
      </c>
      <c r="D437" t="s">
        <v>191</v>
      </c>
      <c r="F437" t="s">
        <v>887</v>
      </c>
      <c r="G437" t="s">
        <v>888</v>
      </c>
      <c r="K437" s="57" t="s">
        <v>1459</v>
      </c>
      <c r="L437" s="57" t="s">
        <v>1376</v>
      </c>
      <c r="M437" s="57" t="s">
        <v>1394</v>
      </c>
      <c r="N437" t="s">
        <v>1289</v>
      </c>
    </row>
    <row r="438" spans="3:14" x14ac:dyDescent="0.35">
      <c r="C438" t="s">
        <v>711</v>
      </c>
      <c r="D438" t="s">
        <v>192</v>
      </c>
      <c r="F438" t="s">
        <v>889</v>
      </c>
      <c r="G438" t="s">
        <v>890</v>
      </c>
      <c r="K438" s="57" t="s">
        <v>1001</v>
      </c>
      <c r="L438" s="57" t="s">
        <v>263</v>
      </c>
      <c r="M438" s="57" t="s">
        <v>816</v>
      </c>
      <c r="N438" t="s">
        <v>1291</v>
      </c>
    </row>
    <row r="439" spans="3:14" x14ac:dyDescent="0.35">
      <c r="C439" t="s">
        <v>507</v>
      </c>
      <c r="D439" t="s">
        <v>193</v>
      </c>
      <c r="F439" t="s">
        <v>656</v>
      </c>
      <c r="G439" t="s">
        <v>891</v>
      </c>
      <c r="K439" s="57" t="s">
        <v>1392</v>
      </c>
      <c r="L439" s="57" t="s">
        <v>1393</v>
      </c>
      <c r="M439" s="57" t="s">
        <v>1394</v>
      </c>
      <c r="N439" t="s">
        <v>1282</v>
      </c>
    </row>
    <row r="440" spans="3:14" x14ac:dyDescent="0.35">
      <c r="C440" t="s">
        <v>712</v>
      </c>
      <c r="D440" t="s">
        <v>194</v>
      </c>
      <c r="F440" t="s">
        <v>892</v>
      </c>
      <c r="G440" t="s">
        <v>893</v>
      </c>
      <c r="K440" s="57" t="s">
        <v>1408</v>
      </c>
      <c r="L440" s="57" t="s">
        <v>1344</v>
      </c>
      <c r="M440" s="57" t="s">
        <v>1394</v>
      </c>
      <c r="N440" t="s">
        <v>1316</v>
      </c>
    </row>
    <row r="441" spans="3:14" x14ac:dyDescent="0.35">
      <c r="C441" t="s">
        <v>713</v>
      </c>
      <c r="D441" t="s">
        <v>195</v>
      </c>
      <c r="F441" t="s">
        <v>894</v>
      </c>
      <c r="G441" t="s">
        <v>895</v>
      </c>
      <c r="K441" s="57" t="s">
        <v>587</v>
      </c>
      <c r="L441" s="57" t="s">
        <v>110</v>
      </c>
      <c r="M441" s="57" t="s">
        <v>1061</v>
      </c>
      <c r="N441" t="s">
        <v>1289</v>
      </c>
    </row>
    <row r="442" spans="3:14" x14ac:dyDescent="0.35">
      <c r="C442" t="s">
        <v>519</v>
      </c>
      <c r="D442" t="s">
        <v>196</v>
      </c>
      <c r="F442" t="s">
        <v>896</v>
      </c>
      <c r="G442" t="s">
        <v>897</v>
      </c>
      <c r="K442" s="57" t="s">
        <v>1420</v>
      </c>
      <c r="L442" s="57" t="s">
        <v>1350</v>
      </c>
      <c r="M442" s="57" t="s">
        <v>1394</v>
      </c>
      <c r="N442" t="s">
        <v>1289</v>
      </c>
    </row>
    <row r="443" spans="3:14" x14ac:dyDescent="0.35">
      <c r="C443" t="s">
        <v>410</v>
      </c>
      <c r="D443" t="s">
        <v>197</v>
      </c>
      <c r="F443" t="s">
        <v>898</v>
      </c>
      <c r="G443" t="s">
        <v>899</v>
      </c>
      <c r="K443" s="57" t="s">
        <v>1465</v>
      </c>
      <c r="L443" s="57" t="s">
        <v>1466</v>
      </c>
      <c r="M443" s="57" t="s">
        <v>1394</v>
      </c>
      <c r="N443" t="s">
        <v>1308</v>
      </c>
    </row>
    <row r="444" spans="3:14" x14ac:dyDescent="0.35">
      <c r="C444" t="s">
        <v>714</v>
      </c>
      <c r="D444" t="s">
        <v>198</v>
      </c>
      <c r="F444" t="s">
        <v>900</v>
      </c>
      <c r="G444" t="s">
        <v>901</v>
      </c>
      <c r="K444" s="57" t="s">
        <v>1405</v>
      </c>
      <c r="L444" s="57" t="s">
        <v>1341</v>
      </c>
      <c r="M444" s="57" t="s">
        <v>1394</v>
      </c>
      <c r="N444" t="s">
        <v>1318</v>
      </c>
    </row>
    <row r="445" spans="3:14" x14ac:dyDescent="0.35">
      <c r="C445" t="s">
        <v>532</v>
      </c>
      <c r="D445" t="s">
        <v>199</v>
      </c>
      <c r="F445" t="s">
        <v>902</v>
      </c>
      <c r="G445" t="s">
        <v>903</v>
      </c>
      <c r="K445" s="57" t="s">
        <v>1455</v>
      </c>
      <c r="L445" s="57" t="s">
        <v>1369</v>
      </c>
      <c r="M445" s="57" t="s">
        <v>1394</v>
      </c>
      <c r="N445" t="s">
        <v>1311</v>
      </c>
    </row>
    <row r="446" spans="3:14" x14ac:dyDescent="0.35">
      <c r="C446" t="s">
        <v>715</v>
      </c>
      <c r="D446" t="s">
        <v>200</v>
      </c>
      <c r="F446" t="s">
        <v>904</v>
      </c>
      <c r="G446" t="s">
        <v>905</v>
      </c>
      <c r="K446" s="57" t="s">
        <v>1429</v>
      </c>
      <c r="L446" s="57" t="s">
        <v>1357</v>
      </c>
      <c r="M446" s="57" t="s">
        <v>1219</v>
      </c>
      <c r="N446" t="s">
        <v>1306</v>
      </c>
    </row>
    <row r="447" spans="3:14" x14ac:dyDescent="0.35">
      <c r="C447" t="s">
        <v>716</v>
      </c>
      <c r="D447" t="s">
        <v>201</v>
      </c>
      <c r="F447" t="s">
        <v>906</v>
      </c>
      <c r="G447" t="s">
        <v>907</v>
      </c>
      <c r="K447" s="57" t="s">
        <v>1424</v>
      </c>
      <c r="L447" s="57" t="s">
        <v>1352</v>
      </c>
      <c r="M447" s="57" t="s">
        <v>1394</v>
      </c>
      <c r="N447" t="s">
        <v>1318</v>
      </c>
    </row>
    <row r="448" spans="3:14" x14ac:dyDescent="0.35">
      <c r="C448" t="s">
        <v>522</v>
      </c>
      <c r="D448" t="s">
        <v>202</v>
      </c>
      <c r="F448" t="s">
        <v>908</v>
      </c>
      <c r="G448" t="s">
        <v>909</v>
      </c>
      <c r="K448" s="57" t="s">
        <v>1056</v>
      </c>
      <c r="L448" s="57" t="s">
        <v>208</v>
      </c>
      <c r="M448" s="57" t="s">
        <v>1061</v>
      </c>
      <c r="N448" t="s">
        <v>1407</v>
      </c>
    </row>
    <row r="449" spans="3:14" x14ac:dyDescent="0.35">
      <c r="C449" t="s">
        <v>477</v>
      </c>
      <c r="D449" t="s">
        <v>203</v>
      </c>
      <c r="F449" t="s">
        <v>910</v>
      </c>
      <c r="G449" t="s">
        <v>911</v>
      </c>
      <c r="K449" s="57" t="s">
        <v>958</v>
      </c>
      <c r="L449" s="57" t="s">
        <v>1075</v>
      </c>
      <c r="M449" s="57" t="s">
        <v>976</v>
      </c>
      <c r="N449" t="s">
        <v>1329</v>
      </c>
    </row>
    <row r="450" spans="3:14" x14ac:dyDescent="0.35">
      <c r="C450" t="s">
        <v>595</v>
      </c>
      <c r="D450" t="s">
        <v>204</v>
      </c>
      <c r="F450" t="s">
        <v>912</v>
      </c>
      <c r="G450" t="s">
        <v>913</v>
      </c>
      <c r="K450" s="57" t="s">
        <v>908</v>
      </c>
      <c r="L450" s="57" t="s">
        <v>1076</v>
      </c>
      <c r="M450" s="57" t="s">
        <v>976</v>
      </c>
      <c r="N450" t="s">
        <v>1282</v>
      </c>
    </row>
    <row r="451" spans="3:14" x14ac:dyDescent="0.35">
      <c r="C451" t="s">
        <v>615</v>
      </c>
      <c r="D451" t="s">
        <v>205</v>
      </c>
      <c r="F451" t="s">
        <v>914</v>
      </c>
      <c r="G451" t="s">
        <v>915</v>
      </c>
      <c r="K451" s="57" t="s">
        <v>1432</v>
      </c>
      <c r="L451" s="57" t="s">
        <v>71</v>
      </c>
      <c r="M451" s="57" t="s">
        <v>1061</v>
      </c>
      <c r="N451" t="s">
        <v>1062</v>
      </c>
    </row>
    <row r="452" spans="3:14" x14ac:dyDescent="0.35">
      <c r="C452" t="s">
        <v>427</v>
      </c>
      <c r="D452" t="s">
        <v>206</v>
      </c>
      <c r="F452" t="s">
        <v>916</v>
      </c>
      <c r="G452" t="s">
        <v>917</v>
      </c>
      <c r="K452" s="57" t="s">
        <v>530</v>
      </c>
      <c r="L452" s="57" t="s">
        <v>1074</v>
      </c>
      <c r="M452" s="57" t="s">
        <v>835</v>
      </c>
      <c r="N452" t="s">
        <v>1062</v>
      </c>
    </row>
    <row r="453" spans="3:14" x14ac:dyDescent="0.35">
      <c r="C453" t="s">
        <v>717</v>
      </c>
      <c r="D453" t="s">
        <v>207</v>
      </c>
      <c r="F453" t="s">
        <v>918</v>
      </c>
      <c r="G453" t="s">
        <v>919</v>
      </c>
      <c r="K453" s="57" t="s">
        <v>1130</v>
      </c>
      <c r="L453" s="57" t="s">
        <v>1483</v>
      </c>
      <c r="M453" s="57" t="s">
        <v>1219</v>
      </c>
      <c r="N453" t="e">
        <v>#N/A</v>
      </c>
    </row>
    <row r="454" spans="3:14" x14ac:dyDescent="0.35">
      <c r="C454" t="s">
        <v>403</v>
      </c>
      <c r="D454" t="s">
        <v>208</v>
      </c>
      <c r="F454" t="s">
        <v>920</v>
      </c>
      <c r="G454" t="s">
        <v>921</v>
      </c>
      <c r="K454" s="57" t="s">
        <v>672</v>
      </c>
      <c r="L454" s="57" t="s">
        <v>93</v>
      </c>
      <c r="M454" s="57" t="s">
        <v>822</v>
      </c>
      <c r="N454" t="s">
        <v>1300</v>
      </c>
    </row>
    <row r="455" spans="3:14" x14ac:dyDescent="0.35">
      <c r="C455" t="s">
        <v>541</v>
      </c>
      <c r="D455" t="s">
        <v>209</v>
      </c>
      <c r="F455" t="s">
        <v>922</v>
      </c>
      <c r="G455" t="s">
        <v>923</v>
      </c>
    </row>
    <row r="456" spans="3:14" x14ac:dyDescent="0.35">
      <c r="C456" t="s">
        <v>406</v>
      </c>
      <c r="D456" t="s">
        <v>210</v>
      </c>
      <c r="F456" t="s">
        <v>924</v>
      </c>
      <c r="G456" t="s">
        <v>925</v>
      </c>
    </row>
    <row r="457" spans="3:14" x14ac:dyDescent="0.35">
      <c r="C457" t="s">
        <v>402</v>
      </c>
      <c r="D457" t="s">
        <v>211</v>
      </c>
      <c r="F457" t="s">
        <v>926</v>
      </c>
      <c r="G457" t="s">
        <v>927</v>
      </c>
    </row>
    <row r="458" spans="3:14" x14ac:dyDescent="0.35">
      <c r="C458" t="s">
        <v>718</v>
      </c>
      <c r="D458" t="s">
        <v>212</v>
      </c>
      <c r="F458" t="s">
        <v>928</v>
      </c>
      <c r="G458" t="s">
        <v>929</v>
      </c>
    </row>
    <row r="459" spans="3:14" x14ac:dyDescent="0.35">
      <c r="C459" t="s">
        <v>407</v>
      </c>
      <c r="D459" t="s">
        <v>213</v>
      </c>
      <c r="F459" t="s">
        <v>930</v>
      </c>
      <c r="G459" t="s">
        <v>931</v>
      </c>
    </row>
    <row r="460" spans="3:14" x14ac:dyDescent="0.35">
      <c r="C460" t="s">
        <v>550</v>
      </c>
      <c r="D460" t="s">
        <v>214</v>
      </c>
      <c r="F460" t="s">
        <v>932</v>
      </c>
      <c r="G460" t="s">
        <v>933</v>
      </c>
    </row>
    <row r="461" spans="3:14" x14ac:dyDescent="0.35">
      <c r="C461" t="s">
        <v>412</v>
      </c>
      <c r="D461" t="s">
        <v>215</v>
      </c>
      <c r="F461" t="s">
        <v>934</v>
      </c>
      <c r="G461" t="s">
        <v>935</v>
      </c>
    </row>
    <row r="462" spans="3:14" x14ac:dyDescent="0.35">
      <c r="C462" t="s">
        <v>540</v>
      </c>
      <c r="D462" t="s">
        <v>216</v>
      </c>
      <c r="F462" t="s">
        <v>936</v>
      </c>
      <c r="G462" t="s">
        <v>937</v>
      </c>
    </row>
    <row r="463" spans="3:14" x14ac:dyDescent="0.35">
      <c r="C463" t="s">
        <v>411</v>
      </c>
      <c r="D463" t="s">
        <v>217</v>
      </c>
      <c r="F463" t="s">
        <v>938</v>
      </c>
      <c r="G463" t="s">
        <v>939</v>
      </c>
    </row>
    <row r="464" spans="3:14" x14ac:dyDescent="0.35">
      <c r="C464" t="s">
        <v>456</v>
      </c>
      <c r="D464" t="s">
        <v>218</v>
      </c>
      <c r="F464" t="s">
        <v>940</v>
      </c>
      <c r="G464" t="s">
        <v>941</v>
      </c>
    </row>
    <row r="465" spans="3:7" x14ac:dyDescent="0.35">
      <c r="C465" t="s">
        <v>465</v>
      </c>
      <c r="D465" t="s">
        <v>219</v>
      </c>
      <c r="F465" t="s">
        <v>942</v>
      </c>
      <c r="G465" t="s">
        <v>943</v>
      </c>
    </row>
    <row r="466" spans="3:7" x14ac:dyDescent="0.35">
      <c r="C466" t="s">
        <v>424</v>
      </c>
      <c r="D466" t="s">
        <v>220</v>
      </c>
      <c r="F466" t="s">
        <v>944</v>
      </c>
      <c r="G466" t="s">
        <v>945</v>
      </c>
    </row>
    <row r="467" spans="3:7" x14ac:dyDescent="0.35">
      <c r="C467" t="s">
        <v>630</v>
      </c>
      <c r="D467" t="s">
        <v>221</v>
      </c>
      <c r="F467" t="s">
        <v>946</v>
      </c>
      <c r="G467" t="s">
        <v>947</v>
      </c>
    </row>
    <row r="468" spans="3:7" x14ac:dyDescent="0.35">
      <c r="C468" t="s">
        <v>550</v>
      </c>
      <c r="D468" t="s">
        <v>222</v>
      </c>
      <c r="F468" t="s">
        <v>948</v>
      </c>
      <c r="G468" t="s">
        <v>949</v>
      </c>
    </row>
    <row r="469" spans="3:7" x14ac:dyDescent="0.35">
      <c r="C469" t="s">
        <v>430</v>
      </c>
      <c r="D469" t="s">
        <v>223</v>
      </c>
      <c r="F469" t="s">
        <v>950</v>
      </c>
      <c r="G469" t="s">
        <v>951</v>
      </c>
    </row>
    <row r="470" spans="3:7" x14ac:dyDescent="0.35">
      <c r="C470" t="s">
        <v>409</v>
      </c>
      <c r="D470" t="s">
        <v>224</v>
      </c>
      <c r="F470" t="s">
        <v>952</v>
      </c>
      <c r="G470" t="s">
        <v>953</v>
      </c>
    </row>
    <row r="471" spans="3:7" x14ac:dyDescent="0.35">
      <c r="C471" t="s">
        <v>581</v>
      </c>
      <c r="D471" t="s">
        <v>225</v>
      </c>
      <c r="F471" t="s">
        <v>954</v>
      </c>
      <c r="G471" t="s">
        <v>955</v>
      </c>
    </row>
    <row r="472" spans="3:7" x14ac:dyDescent="0.35">
      <c r="C472" t="s">
        <v>448</v>
      </c>
      <c r="D472" t="s">
        <v>226</v>
      </c>
      <c r="F472" t="s">
        <v>956</v>
      </c>
      <c r="G472" t="s">
        <v>957</v>
      </c>
    </row>
    <row r="473" spans="3:7" x14ac:dyDescent="0.35">
      <c r="C473" t="s">
        <v>597</v>
      </c>
      <c r="D473" t="s">
        <v>227</v>
      </c>
      <c r="F473" t="s">
        <v>958</v>
      </c>
      <c r="G473" t="s">
        <v>959</v>
      </c>
    </row>
    <row r="474" spans="3:7" x14ac:dyDescent="0.35">
      <c r="C474" t="s">
        <v>588</v>
      </c>
      <c r="D474" t="s">
        <v>228</v>
      </c>
      <c r="F474" t="s">
        <v>960</v>
      </c>
      <c r="G474" t="s">
        <v>961</v>
      </c>
    </row>
    <row r="475" spans="3:7" x14ac:dyDescent="0.35">
      <c r="C475" t="s">
        <v>478</v>
      </c>
      <c r="D475" t="s">
        <v>229</v>
      </c>
      <c r="F475" t="s">
        <v>962</v>
      </c>
      <c r="G475" t="s">
        <v>963</v>
      </c>
    </row>
    <row r="476" spans="3:7" x14ac:dyDescent="0.35">
      <c r="C476" t="s">
        <v>444</v>
      </c>
      <c r="D476" t="s">
        <v>230</v>
      </c>
      <c r="F476" t="s">
        <v>964</v>
      </c>
      <c r="G476" t="s">
        <v>965</v>
      </c>
    </row>
    <row r="477" spans="3:7" x14ac:dyDescent="0.35">
      <c r="C477" t="s">
        <v>434</v>
      </c>
      <c r="D477" t="s">
        <v>231</v>
      </c>
      <c r="F477" t="s">
        <v>980</v>
      </c>
      <c r="G477" t="s">
        <v>169</v>
      </c>
    </row>
    <row r="478" spans="3:7" x14ac:dyDescent="0.35">
      <c r="C478" t="s">
        <v>511</v>
      </c>
      <c r="D478" t="s">
        <v>232</v>
      </c>
      <c r="F478" t="s">
        <v>398</v>
      </c>
      <c r="G478" t="s">
        <v>4</v>
      </c>
    </row>
    <row r="479" spans="3:7" x14ac:dyDescent="0.35">
      <c r="C479" t="s">
        <v>573</v>
      </c>
      <c r="D479" t="s">
        <v>233</v>
      </c>
      <c r="F479" t="s">
        <v>432</v>
      </c>
      <c r="G479" t="s">
        <v>69</v>
      </c>
    </row>
    <row r="480" spans="3:7" x14ac:dyDescent="0.35">
      <c r="C480" t="s">
        <v>526</v>
      </c>
      <c r="D480" t="s">
        <v>234</v>
      </c>
      <c r="F480" t="s">
        <v>656</v>
      </c>
      <c r="G480" t="s">
        <v>52</v>
      </c>
    </row>
    <row r="481" spans="3:7" x14ac:dyDescent="0.35">
      <c r="C481" t="s">
        <v>475</v>
      </c>
      <c r="D481" t="s">
        <v>235</v>
      </c>
      <c r="F481" t="s">
        <v>676</v>
      </c>
      <c r="G481" t="s">
        <v>105</v>
      </c>
    </row>
    <row r="482" spans="3:7" x14ac:dyDescent="0.35">
      <c r="C482" t="s">
        <v>517</v>
      </c>
      <c r="D482" t="s">
        <v>236</v>
      </c>
      <c r="F482" t="s">
        <v>703</v>
      </c>
      <c r="G482" t="s">
        <v>162</v>
      </c>
    </row>
    <row r="483" spans="3:7" x14ac:dyDescent="0.35">
      <c r="C483" t="s">
        <v>566</v>
      </c>
      <c r="D483" t="s">
        <v>237</v>
      </c>
      <c r="F483" t="s">
        <v>981</v>
      </c>
      <c r="G483" t="s">
        <v>6</v>
      </c>
    </row>
    <row r="484" spans="3:7" x14ac:dyDescent="0.35">
      <c r="C484" t="s">
        <v>453</v>
      </c>
      <c r="D484" t="s">
        <v>238</v>
      </c>
      <c r="F484" t="s">
        <v>982</v>
      </c>
      <c r="G484" t="s">
        <v>214</v>
      </c>
    </row>
    <row r="485" spans="3:7" x14ac:dyDescent="0.35">
      <c r="C485" t="s">
        <v>719</v>
      </c>
      <c r="D485" t="s">
        <v>239</v>
      </c>
      <c r="F485" t="s">
        <v>983</v>
      </c>
      <c r="G485" t="s">
        <v>222</v>
      </c>
    </row>
    <row r="486" spans="3:7" x14ac:dyDescent="0.35">
      <c r="C486" t="s">
        <v>419</v>
      </c>
      <c r="D486" t="s">
        <v>240</v>
      </c>
      <c r="F486" t="s">
        <v>984</v>
      </c>
      <c r="G486" t="s">
        <v>59</v>
      </c>
    </row>
    <row r="487" spans="3:7" x14ac:dyDescent="0.35">
      <c r="C487" t="s">
        <v>423</v>
      </c>
      <c r="D487" t="s">
        <v>241</v>
      </c>
      <c r="F487" t="s">
        <v>391</v>
      </c>
      <c r="G487" t="s">
        <v>22</v>
      </c>
    </row>
    <row r="488" spans="3:7" x14ac:dyDescent="0.35">
      <c r="C488" t="s">
        <v>487</v>
      </c>
      <c r="D488" t="s">
        <v>242</v>
      </c>
      <c r="F488" t="s">
        <v>393</v>
      </c>
      <c r="G488" t="s">
        <v>43</v>
      </c>
    </row>
    <row r="489" spans="3:7" x14ac:dyDescent="0.35">
      <c r="C489" t="s">
        <v>473</v>
      </c>
      <c r="D489" t="s">
        <v>243</v>
      </c>
      <c r="F489" t="s">
        <v>985</v>
      </c>
      <c r="G489" t="s">
        <v>72</v>
      </c>
    </row>
    <row r="490" spans="3:7" x14ac:dyDescent="0.35">
      <c r="C490" t="s">
        <v>560</v>
      </c>
      <c r="D490" t="s">
        <v>244</v>
      </c>
      <c r="F490" t="s">
        <v>986</v>
      </c>
      <c r="G490" t="s">
        <v>6</v>
      </c>
    </row>
    <row r="491" spans="3:7" x14ac:dyDescent="0.35">
      <c r="C491" t="s">
        <v>720</v>
      </c>
      <c r="D491" t="s">
        <v>245</v>
      </c>
      <c r="F491" t="s">
        <v>559</v>
      </c>
      <c r="G491" t="s">
        <v>40</v>
      </c>
    </row>
    <row r="492" spans="3:7" x14ac:dyDescent="0.35">
      <c r="C492" t="s">
        <v>459</v>
      </c>
      <c r="D492" t="s">
        <v>246</v>
      </c>
      <c r="F492" t="s">
        <v>397</v>
      </c>
      <c r="G492" t="s">
        <v>174</v>
      </c>
    </row>
    <row r="493" spans="3:7" x14ac:dyDescent="0.35">
      <c r="C493" t="s">
        <v>499</v>
      </c>
      <c r="D493" t="s">
        <v>247</v>
      </c>
      <c r="F493" t="s">
        <v>640</v>
      </c>
      <c r="G493" t="s">
        <v>641</v>
      </c>
    </row>
    <row r="494" spans="3:7" x14ac:dyDescent="0.35">
      <c r="C494" t="s">
        <v>598</v>
      </c>
      <c r="D494" t="s">
        <v>248</v>
      </c>
      <c r="F494" t="s">
        <v>390</v>
      </c>
      <c r="G494" t="s">
        <v>6</v>
      </c>
    </row>
    <row r="495" spans="3:7" x14ac:dyDescent="0.35">
      <c r="C495" t="s">
        <v>721</v>
      </c>
      <c r="D495" t="s">
        <v>249</v>
      </c>
      <c r="F495" t="s">
        <v>987</v>
      </c>
      <c r="G495" t="s">
        <v>988</v>
      </c>
    </row>
    <row r="496" spans="3:7" x14ac:dyDescent="0.35">
      <c r="C496" t="s">
        <v>436</v>
      </c>
      <c r="D496" t="s">
        <v>250</v>
      </c>
      <c r="F496" t="s">
        <v>989</v>
      </c>
      <c r="G496" t="s">
        <v>6</v>
      </c>
    </row>
    <row r="497" spans="3:7" x14ac:dyDescent="0.35">
      <c r="C497" t="s">
        <v>457</v>
      </c>
      <c r="D497" t="s">
        <v>251</v>
      </c>
      <c r="F497" t="s">
        <v>634</v>
      </c>
      <c r="G497" t="s">
        <v>990</v>
      </c>
    </row>
    <row r="498" spans="3:7" x14ac:dyDescent="0.35">
      <c r="C498" t="s">
        <v>476</v>
      </c>
      <c r="D498" t="s">
        <v>252</v>
      </c>
      <c r="F498" t="s">
        <v>440</v>
      </c>
      <c r="G498" t="s">
        <v>88</v>
      </c>
    </row>
    <row r="499" spans="3:7" x14ac:dyDescent="0.35">
      <c r="C499" t="s">
        <v>450</v>
      </c>
      <c r="D499" t="s">
        <v>253</v>
      </c>
      <c r="F499" t="s">
        <v>439</v>
      </c>
      <c r="G499" t="s">
        <v>46</v>
      </c>
    </row>
    <row r="500" spans="3:7" x14ac:dyDescent="0.35">
      <c r="C500" t="s">
        <v>572</v>
      </c>
      <c r="D500" t="s">
        <v>254</v>
      </c>
      <c r="F500" t="s">
        <v>388</v>
      </c>
      <c r="G500" t="s">
        <v>3</v>
      </c>
    </row>
    <row r="501" spans="3:7" x14ac:dyDescent="0.35">
      <c r="C501" t="s">
        <v>480</v>
      </c>
      <c r="D501" t="s">
        <v>255</v>
      </c>
      <c r="F501" t="s">
        <v>418</v>
      </c>
      <c r="G501" t="s">
        <v>33</v>
      </c>
    </row>
    <row r="502" spans="3:7" x14ac:dyDescent="0.35">
      <c r="C502" t="s">
        <v>438</v>
      </c>
      <c r="D502" t="s">
        <v>256</v>
      </c>
      <c r="F502" t="s">
        <v>647</v>
      </c>
      <c r="G502" t="s">
        <v>25</v>
      </c>
    </row>
    <row r="503" spans="3:7" x14ac:dyDescent="0.35">
      <c r="C503" t="s">
        <v>603</v>
      </c>
      <c r="D503" t="s">
        <v>257</v>
      </c>
      <c r="F503" t="s">
        <v>991</v>
      </c>
      <c r="G503" t="s">
        <v>49</v>
      </c>
    </row>
    <row r="504" spans="3:7" x14ac:dyDescent="0.35">
      <c r="C504" t="s">
        <v>462</v>
      </c>
      <c r="D504" t="s">
        <v>258</v>
      </c>
      <c r="F504" t="s">
        <v>675</v>
      </c>
      <c r="G504" t="s">
        <v>104</v>
      </c>
    </row>
    <row r="505" spans="3:7" x14ac:dyDescent="0.35">
      <c r="C505" t="s">
        <v>579</v>
      </c>
      <c r="D505" t="s">
        <v>259</v>
      </c>
      <c r="F505" t="s">
        <v>451</v>
      </c>
      <c r="G505" t="s">
        <v>85</v>
      </c>
    </row>
    <row r="506" spans="3:7" x14ac:dyDescent="0.35">
      <c r="C506" t="s">
        <v>629</v>
      </c>
      <c r="D506" t="s">
        <v>260</v>
      </c>
      <c r="F506" t="s">
        <v>592</v>
      </c>
      <c r="G506" t="s">
        <v>60</v>
      </c>
    </row>
    <row r="507" spans="3:7" x14ac:dyDescent="0.35">
      <c r="C507" t="s">
        <v>548</v>
      </c>
      <c r="D507" t="s">
        <v>261</v>
      </c>
      <c r="F507" t="s">
        <v>590</v>
      </c>
      <c r="G507" t="s">
        <v>128</v>
      </c>
    </row>
    <row r="508" spans="3:7" x14ac:dyDescent="0.35">
      <c r="C508" t="s">
        <v>557</v>
      </c>
      <c r="D508" t="s">
        <v>262</v>
      </c>
      <c r="F508" t="s">
        <v>470</v>
      </c>
      <c r="G508" t="s">
        <v>48</v>
      </c>
    </row>
    <row r="509" spans="3:7" x14ac:dyDescent="0.35">
      <c r="C509" t="s">
        <v>395</v>
      </c>
      <c r="D509" t="s">
        <v>263</v>
      </c>
      <c r="F509" t="s">
        <v>709</v>
      </c>
      <c r="G509" t="s">
        <v>180</v>
      </c>
    </row>
    <row r="510" spans="3:7" x14ac:dyDescent="0.35">
      <c r="C510" t="s">
        <v>461</v>
      </c>
      <c r="D510" t="s">
        <v>264</v>
      </c>
      <c r="F510" t="s">
        <v>992</v>
      </c>
      <c r="G510" t="s">
        <v>78</v>
      </c>
    </row>
    <row r="511" spans="3:7" x14ac:dyDescent="0.35">
      <c r="C511" t="s">
        <v>617</v>
      </c>
      <c r="D511" t="s">
        <v>265</v>
      </c>
      <c r="F511" t="s">
        <v>993</v>
      </c>
      <c r="G511" t="s">
        <v>21</v>
      </c>
    </row>
    <row r="512" spans="3:7" x14ac:dyDescent="0.35">
      <c r="C512" t="s">
        <v>639</v>
      </c>
      <c r="D512" t="s">
        <v>266</v>
      </c>
      <c r="F512" t="s">
        <v>994</v>
      </c>
      <c r="G512" t="s">
        <v>4</v>
      </c>
    </row>
    <row r="513" spans="3:7" x14ac:dyDescent="0.35">
      <c r="C513" t="s">
        <v>627</v>
      </c>
      <c r="D513" t="s">
        <v>267</v>
      </c>
      <c r="F513" t="s">
        <v>446</v>
      </c>
      <c r="G513" t="s">
        <v>12</v>
      </c>
    </row>
    <row r="514" spans="3:7" x14ac:dyDescent="0.35">
      <c r="C514" t="s">
        <v>510</v>
      </c>
      <c r="D514" t="s">
        <v>268</v>
      </c>
      <c r="F514" t="s">
        <v>545</v>
      </c>
      <c r="G514" t="s">
        <v>2</v>
      </c>
    </row>
    <row r="515" spans="3:7" x14ac:dyDescent="0.35">
      <c r="C515" t="s">
        <v>722</v>
      </c>
      <c r="D515" t="s">
        <v>269</v>
      </c>
      <c r="F515" t="s">
        <v>442</v>
      </c>
      <c r="G515" t="s">
        <v>45</v>
      </c>
    </row>
    <row r="516" spans="3:7" x14ac:dyDescent="0.35">
      <c r="C516" t="s">
        <v>723</v>
      </c>
      <c r="D516" t="s">
        <v>270</v>
      </c>
      <c r="F516" t="s">
        <v>661</v>
      </c>
      <c r="G516" t="s">
        <v>995</v>
      </c>
    </row>
    <row r="517" spans="3:7" x14ac:dyDescent="0.35">
      <c r="C517" t="s">
        <v>555</v>
      </c>
      <c r="D517" t="s">
        <v>271</v>
      </c>
      <c r="F517" t="s">
        <v>625</v>
      </c>
      <c r="G517" t="s">
        <v>51</v>
      </c>
    </row>
    <row r="518" spans="3:7" x14ac:dyDescent="0.35">
      <c r="C518" t="s">
        <v>607</v>
      </c>
      <c r="D518" t="s">
        <v>272</v>
      </c>
      <c r="F518" t="s">
        <v>680</v>
      </c>
      <c r="G518" t="s">
        <v>115</v>
      </c>
    </row>
    <row r="519" spans="3:7" x14ac:dyDescent="0.35">
      <c r="C519" t="s">
        <v>542</v>
      </c>
      <c r="D519" t="s">
        <v>273</v>
      </c>
      <c r="F519" t="s">
        <v>396</v>
      </c>
      <c r="G519" t="s">
        <v>9</v>
      </c>
    </row>
    <row r="520" spans="3:7" x14ac:dyDescent="0.35">
      <c r="C520" t="s">
        <v>724</v>
      </c>
      <c r="D520" t="s">
        <v>274</v>
      </c>
      <c r="F520" t="s">
        <v>723</v>
      </c>
      <c r="G520" t="s">
        <v>270</v>
      </c>
    </row>
    <row r="521" spans="3:7" x14ac:dyDescent="0.35">
      <c r="C521" t="s">
        <v>725</v>
      </c>
      <c r="D521" t="s">
        <v>275</v>
      </c>
      <c r="F521" t="s">
        <v>441</v>
      </c>
      <c r="G521" t="s">
        <v>32</v>
      </c>
    </row>
    <row r="522" spans="3:7" x14ac:dyDescent="0.35">
      <c r="C522" t="s">
        <v>605</v>
      </c>
      <c r="D522" t="s">
        <v>276</v>
      </c>
      <c r="F522" t="s">
        <v>413</v>
      </c>
      <c r="G522" t="s">
        <v>7</v>
      </c>
    </row>
    <row r="523" spans="3:7" x14ac:dyDescent="0.35">
      <c r="C523" t="s">
        <v>609</v>
      </c>
      <c r="D523" t="s">
        <v>277</v>
      </c>
      <c r="F523" t="s">
        <v>394</v>
      </c>
      <c r="G523" t="s">
        <v>10</v>
      </c>
    </row>
    <row r="524" spans="3:7" x14ac:dyDescent="0.35">
      <c r="C524" t="s">
        <v>463</v>
      </c>
      <c r="D524" t="s">
        <v>278</v>
      </c>
      <c r="F524" t="s">
        <v>400</v>
      </c>
      <c r="G524" t="s">
        <v>83</v>
      </c>
    </row>
    <row r="525" spans="3:7" x14ac:dyDescent="0.35">
      <c r="C525" t="s">
        <v>490</v>
      </c>
      <c r="D525" t="s">
        <v>279</v>
      </c>
      <c r="F525" t="s">
        <v>611</v>
      </c>
      <c r="G525" t="s">
        <v>108</v>
      </c>
    </row>
    <row r="526" spans="3:7" x14ac:dyDescent="0.35">
      <c r="C526" t="s">
        <v>469</v>
      </c>
      <c r="D526" t="s">
        <v>280</v>
      </c>
      <c r="F526" t="s">
        <v>445</v>
      </c>
      <c r="G526" t="s">
        <v>75</v>
      </c>
    </row>
    <row r="527" spans="3:7" x14ac:dyDescent="0.35">
      <c r="C527" t="s">
        <v>494</v>
      </c>
      <c r="D527" t="s">
        <v>281</v>
      </c>
      <c r="F527" t="s">
        <v>996</v>
      </c>
      <c r="G527" t="s">
        <v>27</v>
      </c>
    </row>
    <row r="528" spans="3:7" x14ac:dyDescent="0.35">
      <c r="C528" t="s">
        <v>486</v>
      </c>
      <c r="D528" t="s">
        <v>282</v>
      </c>
      <c r="F528" t="s">
        <v>683</v>
      </c>
      <c r="G528" t="s">
        <v>119</v>
      </c>
    </row>
    <row r="529" spans="3:7" x14ac:dyDescent="0.35">
      <c r="C529" t="s">
        <v>527</v>
      </c>
      <c r="D529" t="s">
        <v>283</v>
      </c>
      <c r="F529" t="s">
        <v>997</v>
      </c>
      <c r="G529" t="s">
        <v>998</v>
      </c>
    </row>
    <row r="530" spans="3:7" x14ac:dyDescent="0.35">
      <c r="C530" t="s">
        <v>485</v>
      </c>
      <c r="D530" t="s">
        <v>284</v>
      </c>
      <c r="F530" t="s">
        <v>420</v>
      </c>
      <c r="G530" t="s">
        <v>11</v>
      </c>
    </row>
    <row r="531" spans="3:7" x14ac:dyDescent="0.35">
      <c r="C531" t="s">
        <v>596</v>
      </c>
      <c r="D531" t="s">
        <v>285</v>
      </c>
      <c r="F531" t="s">
        <v>999</v>
      </c>
      <c r="G531" t="s">
        <v>176</v>
      </c>
    </row>
    <row r="532" spans="3:7" x14ac:dyDescent="0.35">
      <c r="C532" t="s">
        <v>726</v>
      </c>
      <c r="D532" t="s">
        <v>286</v>
      </c>
      <c r="F532" t="s">
        <v>662</v>
      </c>
      <c r="G532" t="s">
        <v>67</v>
      </c>
    </row>
    <row r="533" spans="3:7" x14ac:dyDescent="0.35">
      <c r="C533" t="s">
        <v>482</v>
      </c>
      <c r="D533" t="s">
        <v>287</v>
      </c>
      <c r="F533" t="s">
        <v>562</v>
      </c>
      <c r="G533" t="s">
        <v>164</v>
      </c>
    </row>
    <row r="534" spans="3:7" x14ac:dyDescent="0.35">
      <c r="C534" t="s">
        <v>492</v>
      </c>
      <c r="D534" t="s">
        <v>288</v>
      </c>
      <c r="F534" t="s">
        <v>473</v>
      </c>
      <c r="G534" t="s">
        <v>55</v>
      </c>
    </row>
    <row r="535" spans="3:7" x14ac:dyDescent="0.35">
      <c r="C535" t="s">
        <v>727</v>
      </c>
      <c r="D535" t="s">
        <v>289</v>
      </c>
      <c r="F535" t="s">
        <v>500</v>
      </c>
      <c r="G535" t="s">
        <v>99</v>
      </c>
    </row>
    <row r="536" spans="3:7" x14ac:dyDescent="0.35">
      <c r="C536" t="s">
        <v>523</v>
      </c>
      <c r="D536" t="s">
        <v>290</v>
      </c>
      <c r="F536" t="s">
        <v>521</v>
      </c>
      <c r="G536" t="s">
        <v>14</v>
      </c>
    </row>
    <row r="537" spans="3:7" x14ac:dyDescent="0.35">
      <c r="C537" t="s">
        <v>501</v>
      </c>
      <c r="D537" t="s">
        <v>291</v>
      </c>
      <c r="F537" t="s">
        <v>604</v>
      </c>
      <c r="G537" t="s">
        <v>167</v>
      </c>
    </row>
    <row r="538" spans="3:7" x14ac:dyDescent="0.35">
      <c r="C538" t="s">
        <v>728</v>
      </c>
      <c r="D538" t="s">
        <v>292</v>
      </c>
      <c r="F538" t="s">
        <v>681</v>
      </c>
      <c r="G538" t="s">
        <v>116</v>
      </c>
    </row>
    <row r="539" spans="3:7" x14ac:dyDescent="0.35">
      <c r="C539" t="s">
        <v>568</v>
      </c>
      <c r="D539" t="s">
        <v>293</v>
      </c>
      <c r="F539" t="s">
        <v>795</v>
      </c>
      <c r="G539" t="s">
        <v>8</v>
      </c>
    </row>
    <row r="540" spans="3:7" x14ac:dyDescent="0.35">
      <c r="C540" t="s">
        <v>525</v>
      </c>
      <c r="D540" t="s">
        <v>294</v>
      </c>
      <c r="F540" t="s">
        <v>1000</v>
      </c>
      <c r="G540" t="s">
        <v>82</v>
      </c>
    </row>
    <row r="541" spans="3:7" x14ac:dyDescent="0.35">
      <c r="C541" t="s">
        <v>504</v>
      </c>
      <c r="D541" t="s">
        <v>295</v>
      </c>
      <c r="F541" t="s">
        <v>416</v>
      </c>
      <c r="G541" t="s">
        <v>17</v>
      </c>
    </row>
    <row r="542" spans="3:7" x14ac:dyDescent="0.35">
      <c r="C542" t="s">
        <v>502</v>
      </c>
      <c r="D542" t="s">
        <v>296</v>
      </c>
      <c r="F542" t="s">
        <v>580</v>
      </c>
      <c r="G542" t="s">
        <v>19</v>
      </c>
    </row>
    <row r="543" spans="3:7" x14ac:dyDescent="0.35">
      <c r="C543" t="s">
        <v>729</v>
      </c>
      <c r="D543" t="s">
        <v>297</v>
      </c>
      <c r="F543" t="s">
        <v>1001</v>
      </c>
      <c r="G543" t="s">
        <v>16</v>
      </c>
    </row>
    <row r="544" spans="3:7" x14ac:dyDescent="0.35">
      <c r="C544" t="s">
        <v>593</v>
      </c>
      <c r="D544" t="s">
        <v>298</v>
      </c>
      <c r="F544" t="s">
        <v>1002</v>
      </c>
      <c r="G544" t="s">
        <v>788</v>
      </c>
    </row>
    <row r="545" spans="3:7" x14ac:dyDescent="0.35">
      <c r="C545" t="s">
        <v>578</v>
      </c>
      <c r="D545" t="s">
        <v>300</v>
      </c>
      <c r="F545" t="s">
        <v>648</v>
      </c>
      <c r="G545" t="s">
        <v>27</v>
      </c>
    </row>
    <row r="546" spans="3:7" x14ac:dyDescent="0.35">
      <c r="C546" t="s">
        <v>505</v>
      </c>
      <c r="D546" t="s">
        <v>301</v>
      </c>
      <c r="F546" t="s">
        <v>1003</v>
      </c>
      <c r="G546" t="s">
        <v>16</v>
      </c>
    </row>
    <row r="547" spans="3:7" x14ac:dyDescent="0.35">
      <c r="C547" t="s">
        <v>618</v>
      </c>
      <c r="D547" t="s">
        <v>302</v>
      </c>
      <c r="F547" t="s">
        <v>449</v>
      </c>
      <c r="G547" t="s">
        <v>64</v>
      </c>
    </row>
    <row r="548" spans="3:7" x14ac:dyDescent="0.35">
      <c r="C548" t="s">
        <v>730</v>
      </c>
      <c r="D548" t="s">
        <v>303</v>
      </c>
      <c r="F548" t="s">
        <v>404</v>
      </c>
      <c r="G548" t="s">
        <v>44</v>
      </c>
    </row>
    <row r="549" spans="3:7" x14ac:dyDescent="0.35">
      <c r="C549" t="s">
        <v>583</v>
      </c>
      <c r="D549" t="s">
        <v>304</v>
      </c>
      <c r="F549" t="s">
        <v>433</v>
      </c>
      <c r="G549" t="s">
        <v>81</v>
      </c>
    </row>
    <row r="550" spans="3:7" x14ac:dyDescent="0.35">
      <c r="C550" t="s">
        <v>632</v>
      </c>
      <c r="D550" t="s">
        <v>305</v>
      </c>
      <c r="F550" t="s">
        <v>535</v>
      </c>
      <c r="G550" t="s">
        <v>168</v>
      </c>
    </row>
    <row r="551" spans="3:7" x14ac:dyDescent="0.35">
      <c r="C551" t="s">
        <v>488</v>
      </c>
      <c r="D551" t="s">
        <v>306</v>
      </c>
      <c r="F551" t="s">
        <v>628</v>
      </c>
      <c r="G551" t="s">
        <v>148</v>
      </c>
    </row>
    <row r="552" spans="3:7" x14ac:dyDescent="0.35">
      <c r="C552" t="s">
        <v>731</v>
      </c>
      <c r="D552" t="s">
        <v>307</v>
      </c>
      <c r="F552" t="s">
        <v>1004</v>
      </c>
      <c r="G552" t="s">
        <v>37</v>
      </c>
    </row>
    <row r="553" spans="3:7" x14ac:dyDescent="0.35">
      <c r="C553" t="s">
        <v>564</v>
      </c>
      <c r="D553" t="s">
        <v>308</v>
      </c>
      <c r="F553" t="s">
        <v>556</v>
      </c>
      <c r="G553" t="s">
        <v>41</v>
      </c>
    </row>
    <row r="554" spans="3:7" x14ac:dyDescent="0.35">
      <c r="C554" t="s">
        <v>533</v>
      </c>
      <c r="D554" t="s">
        <v>309</v>
      </c>
      <c r="F554" t="s">
        <v>621</v>
      </c>
      <c r="G554" t="s">
        <v>26</v>
      </c>
    </row>
    <row r="555" spans="3:7" x14ac:dyDescent="0.35">
      <c r="C555" t="s">
        <v>571</v>
      </c>
      <c r="D555" t="s">
        <v>310</v>
      </c>
      <c r="F555" t="s">
        <v>498</v>
      </c>
      <c r="G555" t="s">
        <v>142</v>
      </c>
    </row>
    <row r="556" spans="3:7" x14ac:dyDescent="0.35">
      <c r="C556" t="s">
        <v>558</v>
      </c>
      <c r="D556" t="s">
        <v>311</v>
      </c>
      <c r="F556" t="s">
        <v>1005</v>
      </c>
      <c r="G556" t="s">
        <v>14</v>
      </c>
    </row>
    <row r="557" spans="3:7" x14ac:dyDescent="0.35">
      <c r="C557" t="s">
        <v>732</v>
      </c>
      <c r="D557" t="s">
        <v>312</v>
      </c>
      <c r="F557" t="s">
        <v>646</v>
      </c>
      <c r="G557" t="s">
        <v>23</v>
      </c>
    </row>
    <row r="558" spans="3:7" x14ac:dyDescent="0.35">
      <c r="C558" t="s">
        <v>554</v>
      </c>
      <c r="D558" t="s">
        <v>313</v>
      </c>
      <c r="F558" t="s">
        <v>532</v>
      </c>
      <c r="G558" t="s">
        <v>199</v>
      </c>
    </row>
    <row r="559" spans="3:7" x14ac:dyDescent="0.35">
      <c r="C559" t="s">
        <v>529</v>
      </c>
      <c r="D559" t="s">
        <v>314</v>
      </c>
      <c r="F559" t="s">
        <v>567</v>
      </c>
      <c r="G559" t="s">
        <v>170</v>
      </c>
    </row>
    <row r="560" spans="3:7" x14ac:dyDescent="0.35">
      <c r="C560" t="s">
        <v>594</v>
      </c>
      <c r="D560" t="s">
        <v>315</v>
      </c>
      <c r="F560" t="s">
        <v>584</v>
      </c>
      <c r="G560" t="s">
        <v>77</v>
      </c>
    </row>
    <row r="561" spans="3:7" x14ac:dyDescent="0.35">
      <c r="C561" t="s">
        <v>733</v>
      </c>
      <c r="D561" t="s">
        <v>316</v>
      </c>
      <c r="F561" t="s">
        <v>528</v>
      </c>
      <c r="G561" t="s">
        <v>136</v>
      </c>
    </row>
    <row r="562" spans="3:7" x14ac:dyDescent="0.35">
      <c r="C562" t="s">
        <v>508</v>
      </c>
      <c r="D562" t="s">
        <v>317</v>
      </c>
      <c r="F562" t="s">
        <v>506</v>
      </c>
      <c r="G562" t="s">
        <v>100</v>
      </c>
    </row>
    <row r="563" spans="3:7" x14ac:dyDescent="0.35">
      <c r="C563" t="s">
        <v>626</v>
      </c>
      <c r="D563" t="s">
        <v>318</v>
      </c>
      <c r="F563" t="s">
        <v>585</v>
      </c>
      <c r="G563" t="s">
        <v>126</v>
      </c>
    </row>
    <row r="564" spans="3:7" x14ac:dyDescent="0.35">
      <c r="C564" t="s">
        <v>547</v>
      </c>
      <c r="D564" t="s">
        <v>319</v>
      </c>
      <c r="F564" t="s">
        <v>644</v>
      </c>
      <c r="G564" t="s">
        <v>15</v>
      </c>
    </row>
    <row r="565" spans="3:7" x14ac:dyDescent="0.35">
      <c r="C565" t="s">
        <v>582</v>
      </c>
      <c r="D565" t="s">
        <v>320</v>
      </c>
      <c r="F565" t="s">
        <v>1006</v>
      </c>
      <c r="G565" t="s">
        <v>21</v>
      </c>
    </row>
    <row r="566" spans="3:7" x14ac:dyDescent="0.35">
      <c r="C566" t="s">
        <v>515</v>
      </c>
      <c r="D566" t="s">
        <v>321</v>
      </c>
      <c r="F566" t="s">
        <v>587</v>
      </c>
      <c r="G566" t="s">
        <v>110</v>
      </c>
    </row>
    <row r="567" spans="3:7" x14ac:dyDescent="0.35">
      <c r="C567" t="s">
        <v>538</v>
      </c>
      <c r="D567" t="s">
        <v>322</v>
      </c>
      <c r="F567" t="s">
        <v>673</v>
      </c>
      <c r="G567" t="s">
        <v>97</v>
      </c>
    </row>
    <row r="568" spans="3:7" x14ac:dyDescent="0.35">
      <c r="C568" t="s">
        <v>534</v>
      </c>
      <c r="D568" t="s">
        <v>323</v>
      </c>
      <c r="F568" t="s">
        <v>677</v>
      </c>
      <c r="G568" t="s">
        <v>109</v>
      </c>
    </row>
    <row r="569" spans="3:7" x14ac:dyDescent="0.35">
      <c r="C569" t="s">
        <v>514</v>
      </c>
      <c r="D569" t="s">
        <v>324</v>
      </c>
      <c r="F569" t="s">
        <v>613</v>
      </c>
      <c r="G569" t="s">
        <v>66</v>
      </c>
    </row>
    <row r="570" spans="3:7" x14ac:dyDescent="0.35">
      <c r="C570" t="s">
        <v>512</v>
      </c>
      <c r="D570" t="s">
        <v>325</v>
      </c>
      <c r="F570" t="s">
        <v>1007</v>
      </c>
      <c r="G570" t="s">
        <v>208</v>
      </c>
    </row>
    <row r="571" spans="3:7" x14ac:dyDescent="0.35">
      <c r="C571" t="s">
        <v>570</v>
      </c>
      <c r="D571" t="s">
        <v>326</v>
      </c>
      <c r="F571" t="s">
        <v>660</v>
      </c>
      <c r="G571" t="s">
        <v>63</v>
      </c>
    </row>
    <row r="572" spans="3:7" x14ac:dyDescent="0.35">
      <c r="C572" t="s">
        <v>513</v>
      </c>
      <c r="D572" t="s">
        <v>327</v>
      </c>
      <c r="F572" t="s">
        <v>616</v>
      </c>
      <c r="G572" t="s">
        <v>74</v>
      </c>
    </row>
    <row r="573" spans="3:7" x14ac:dyDescent="0.35">
      <c r="C573" t="s">
        <v>516</v>
      </c>
      <c r="D573" t="s">
        <v>328</v>
      </c>
      <c r="F573" t="s">
        <v>614</v>
      </c>
      <c r="G573" t="s">
        <v>29</v>
      </c>
    </row>
    <row r="574" spans="3:7" x14ac:dyDescent="0.35">
      <c r="C574" t="s">
        <v>544</v>
      </c>
      <c r="D574" t="s">
        <v>329</v>
      </c>
      <c r="F574" t="s">
        <v>643</v>
      </c>
      <c r="G574" t="s">
        <v>5</v>
      </c>
    </row>
    <row r="575" spans="3:7" x14ac:dyDescent="0.35">
      <c r="C575" t="s">
        <v>638</v>
      </c>
      <c r="D575" t="s">
        <v>330</v>
      </c>
      <c r="F575" t="s">
        <v>435</v>
      </c>
      <c r="G575" t="s">
        <v>56</v>
      </c>
    </row>
    <row r="576" spans="3:7" x14ac:dyDescent="0.35">
      <c r="C576" t="s">
        <v>537</v>
      </c>
      <c r="D576" t="s">
        <v>331</v>
      </c>
      <c r="F576" t="s">
        <v>561</v>
      </c>
      <c r="G576" t="s">
        <v>134</v>
      </c>
    </row>
    <row r="577" spans="3:7" x14ac:dyDescent="0.35">
      <c r="C577" t="s">
        <v>536</v>
      </c>
      <c r="D577" t="s">
        <v>332</v>
      </c>
      <c r="F577" t="s">
        <v>436</v>
      </c>
      <c r="G577" t="s">
        <v>250</v>
      </c>
    </row>
    <row r="578" spans="3:7" x14ac:dyDescent="0.35">
      <c r="C578" t="s">
        <v>734</v>
      </c>
      <c r="D578" t="s">
        <v>333</v>
      </c>
      <c r="F578" t="s">
        <v>1008</v>
      </c>
      <c r="G578" t="s">
        <v>20</v>
      </c>
    </row>
    <row r="579" spans="3:7" x14ac:dyDescent="0.35">
      <c r="C579" t="s">
        <v>735</v>
      </c>
      <c r="D579" t="s">
        <v>334</v>
      </c>
      <c r="F579" t="s">
        <v>1009</v>
      </c>
      <c r="G579" t="s">
        <v>82</v>
      </c>
    </row>
    <row r="580" spans="3:7" x14ac:dyDescent="0.35">
      <c r="C580" t="s">
        <v>736</v>
      </c>
      <c r="D580" t="s">
        <v>335</v>
      </c>
      <c r="F580" t="s">
        <v>629</v>
      </c>
      <c r="G580" t="s">
        <v>260</v>
      </c>
    </row>
    <row r="581" spans="3:7" x14ac:dyDescent="0.35">
      <c r="C581" t="s">
        <v>697</v>
      </c>
      <c r="D581" t="s">
        <v>336</v>
      </c>
      <c r="F581" t="s">
        <v>601</v>
      </c>
      <c r="G581" t="s">
        <v>152</v>
      </c>
    </row>
    <row r="582" spans="3:7" x14ac:dyDescent="0.35">
      <c r="C582" t="s">
        <v>737</v>
      </c>
      <c r="D582" t="s">
        <v>337</v>
      </c>
      <c r="F582" t="s">
        <v>1010</v>
      </c>
      <c r="G582" t="s">
        <v>82</v>
      </c>
    </row>
    <row r="583" spans="3:7" x14ac:dyDescent="0.35">
      <c r="C583" t="s">
        <v>738</v>
      </c>
      <c r="D583" t="s">
        <v>338</v>
      </c>
      <c r="F583" t="s">
        <v>623</v>
      </c>
      <c r="G583" t="s">
        <v>157</v>
      </c>
    </row>
    <row r="584" spans="3:7" x14ac:dyDescent="0.35">
      <c r="C584" t="s">
        <v>739</v>
      </c>
      <c r="D584" t="s">
        <v>339</v>
      </c>
      <c r="F584" t="s">
        <v>543</v>
      </c>
      <c r="G584" t="s">
        <v>130</v>
      </c>
    </row>
    <row r="585" spans="3:7" x14ac:dyDescent="0.35">
      <c r="C585" t="s">
        <v>740</v>
      </c>
      <c r="D585" t="s">
        <v>340</v>
      </c>
      <c r="F585" t="s">
        <v>1011</v>
      </c>
      <c r="G585" t="s">
        <v>96</v>
      </c>
    </row>
    <row r="586" spans="3:7" x14ac:dyDescent="0.35">
      <c r="C586" t="s">
        <v>718</v>
      </c>
      <c r="D586" t="s">
        <v>212</v>
      </c>
      <c r="F586" t="s">
        <v>698</v>
      </c>
      <c r="G586" t="s">
        <v>146</v>
      </c>
    </row>
    <row r="587" spans="3:7" x14ac:dyDescent="0.35">
      <c r="C587" t="s">
        <v>741</v>
      </c>
      <c r="D587" t="s">
        <v>341</v>
      </c>
      <c r="F587" t="s">
        <v>479</v>
      </c>
      <c r="G587" t="s">
        <v>24</v>
      </c>
    </row>
    <row r="588" spans="3:7" x14ac:dyDescent="0.35">
      <c r="C588" t="s">
        <v>742</v>
      </c>
      <c r="D588" t="s">
        <v>342</v>
      </c>
      <c r="F588" t="s">
        <v>565</v>
      </c>
      <c r="G588" t="s">
        <v>62</v>
      </c>
    </row>
    <row r="589" spans="3:7" x14ac:dyDescent="0.35">
      <c r="C589" t="s">
        <v>743</v>
      </c>
      <c r="D589" t="s">
        <v>343</v>
      </c>
      <c r="F589" t="s">
        <v>481</v>
      </c>
      <c r="G589" t="s">
        <v>102</v>
      </c>
    </row>
    <row r="590" spans="3:7" x14ac:dyDescent="0.35">
      <c r="C590" t="s">
        <v>744</v>
      </c>
      <c r="D590" t="s">
        <v>344</v>
      </c>
      <c r="F590" t="s">
        <v>455</v>
      </c>
      <c r="G590" t="s">
        <v>58</v>
      </c>
    </row>
    <row r="591" spans="3:7" x14ac:dyDescent="0.35">
      <c r="C591" t="s">
        <v>530</v>
      </c>
      <c r="D591" t="s">
        <v>345</v>
      </c>
      <c r="F591" t="s">
        <v>663</v>
      </c>
      <c r="G591" t="s">
        <v>68</v>
      </c>
    </row>
    <row r="592" spans="3:7" x14ac:dyDescent="0.35">
      <c r="C592" t="s">
        <v>745</v>
      </c>
      <c r="D592" t="s">
        <v>346</v>
      </c>
      <c r="F592" t="s">
        <v>699</v>
      </c>
      <c r="G592" t="s">
        <v>147</v>
      </c>
    </row>
    <row r="593" spans="3:7" x14ac:dyDescent="0.35">
      <c r="C593" t="s">
        <v>746</v>
      </c>
      <c r="D593" t="s">
        <v>347</v>
      </c>
      <c r="F593" t="s">
        <v>1012</v>
      </c>
      <c r="G593" t="s">
        <v>78</v>
      </c>
    </row>
    <row r="594" spans="3:7" x14ac:dyDescent="0.35">
      <c r="C594" t="s">
        <v>747</v>
      </c>
      <c r="D594" t="s">
        <v>348</v>
      </c>
      <c r="F594" t="s">
        <v>740</v>
      </c>
      <c r="G594" t="s">
        <v>340</v>
      </c>
    </row>
    <row r="595" spans="3:7" x14ac:dyDescent="0.35">
      <c r="C595" t="s">
        <v>748</v>
      </c>
      <c r="D595" t="s">
        <v>349</v>
      </c>
      <c r="F595" t="s">
        <v>1013</v>
      </c>
      <c r="G595" t="s">
        <v>82</v>
      </c>
    </row>
    <row r="596" spans="3:7" x14ac:dyDescent="0.35">
      <c r="C596" t="s">
        <v>749</v>
      </c>
      <c r="D596" t="s">
        <v>350</v>
      </c>
      <c r="F596" t="s">
        <v>619</v>
      </c>
      <c r="G596" t="s">
        <v>71</v>
      </c>
    </row>
    <row r="597" spans="3:7" x14ac:dyDescent="0.35">
      <c r="C597" t="s">
        <v>750</v>
      </c>
      <c r="D597" t="s">
        <v>351</v>
      </c>
      <c r="F597" t="s">
        <v>425</v>
      </c>
      <c r="G597" t="s">
        <v>39</v>
      </c>
    </row>
    <row r="598" spans="3:7" x14ac:dyDescent="0.35">
      <c r="C598" t="s">
        <v>751</v>
      </c>
      <c r="D598" t="s">
        <v>352</v>
      </c>
      <c r="F598" t="s">
        <v>540</v>
      </c>
      <c r="G598" t="s">
        <v>216</v>
      </c>
    </row>
    <row r="599" spans="3:7" x14ac:dyDescent="0.35">
      <c r="C599" t="s">
        <v>752</v>
      </c>
      <c r="D599" t="s">
        <v>353</v>
      </c>
      <c r="F599" t="s">
        <v>1014</v>
      </c>
      <c r="G599" t="s">
        <v>272</v>
      </c>
    </row>
    <row r="600" spans="3:7" x14ac:dyDescent="0.35">
      <c r="C600" t="s">
        <v>753</v>
      </c>
      <c r="D600" t="s">
        <v>354</v>
      </c>
      <c r="F600" t="s">
        <v>636</v>
      </c>
      <c r="G600" t="s">
        <v>31</v>
      </c>
    </row>
    <row r="601" spans="3:7" x14ac:dyDescent="0.35">
      <c r="C601" t="s">
        <v>754</v>
      </c>
      <c r="D601" t="s">
        <v>355</v>
      </c>
      <c r="F601" t="s">
        <v>468</v>
      </c>
      <c r="G601" t="s">
        <v>54</v>
      </c>
    </row>
    <row r="602" spans="3:7" x14ac:dyDescent="0.35">
      <c r="C602" t="s">
        <v>755</v>
      </c>
      <c r="D602" t="s">
        <v>356</v>
      </c>
      <c r="F602" t="s">
        <v>624</v>
      </c>
      <c r="G602" t="s">
        <v>106</v>
      </c>
    </row>
    <row r="603" spans="3:7" x14ac:dyDescent="0.35">
      <c r="C603" t="s">
        <v>756</v>
      </c>
      <c r="D603" t="s">
        <v>357</v>
      </c>
      <c r="F603" t="s">
        <v>546</v>
      </c>
      <c r="G603" t="s">
        <v>118</v>
      </c>
    </row>
    <row r="604" spans="3:7" x14ac:dyDescent="0.35">
      <c r="C604" t="s">
        <v>757</v>
      </c>
      <c r="D604" t="s">
        <v>358</v>
      </c>
      <c r="F604" t="s">
        <v>1015</v>
      </c>
      <c r="G604" t="s">
        <v>175</v>
      </c>
    </row>
    <row r="605" spans="3:7" x14ac:dyDescent="0.35">
      <c r="C605" t="s">
        <v>758</v>
      </c>
      <c r="D605" t="s">
        <v>359</v>
      </c>
      <c r="F605" t="s">
        <v>602</v>
      </c>
      <c r="G605" t="s">
        <v>156</v>
      </c>
    </row>
    <row r="606" spans="3:7" x14ac:dyDescent="0.35">
      <c r="C606" t="s">
        <v>759</v>
      </c>
      <c r="D606" t="s">
        <v>360</v>
      </c>
      <c r="F606" t="s">
        <v>631</v>
      </c>
      <c r="G606" t="s">
        <v>70</v>
      </c>
    </row>
    <row r="607" spans="3:7" x14ac:dyDescent="0.35">
      <c r="C607" t="s">
        <v>760</v>
      </c>
      <c r="D607" t="s">
        <v>361</v>
      </c>
      <c r="F607" t="s">
        <v>1016</v>
      </c>
      <c r="G607" t="s">
        <v>36</v>
      </c>
    </row>
    <row r="608" spans="3:7" x14ac:dyDescent="0.35">
      <c r="C608" t="s">
        <v>761</v>
      </c>
      <c r="D608" t="s">
        <v>362</v>
      </c>
      <c r="F608" t="s">
        <v>454</v>
      </c>
      <c r="G608" t="s">
        <v>91</v>
      </c>
    </row>
    <row r="609" spans="3:7" x14ac:dyDescent="0.35">
      <c r="C609" t="s">
        <v>762</v>
      </c>
      <c r="D609" t="s">
        <v>363</v>
      </c>
      <c r="F609" t="s">
        <v>722</v>
      </c>
      <c r="G609" t="s">
        <v>269</v>
      </c>
    </row>
    <row r="610" spans="3:7" x14ac:dyDescent="0.35">
      <c r="C610" t="s">
        <v>763</v>
      </c>
      <c r="D610" t="s">
        <v>364</v>
      </c>
      <c r="F610" t="s">
        <v>503</v>
      </c>
      <c r="G610" t="s">
        <v>150</v>
      </c>
    </row>
    <row r="611" spans="3:7" x14ac:dyDescent="0.35">
      <c r="C611" t="s">
        <v>764</v>
      </c>
      <c r="D611" t="s">
        <v>365</v>
      </c>
      <c r="F611" t="s">
        <v>669</v>
      </c>
      <c r="G611" t="s">
        <v>87</v>
      </c>
    </row>
    <row r="612" spans="3:7" x14ac:dyDescent="0.35">
      <c r="C612" t="s">
        <v>765</v>
      </c>
      <c r="D612" t="s">
        <v>366</v>
      </c>
      <c r="F612" t="s">
        <v>491</v>
      </c>
      <c r="G612" t="s">
        <v>111</v>
      </c>
    </row>
    <row r="613" spans="3:7" x14ac:dyDescent="0.35">
      <c r="C613" t="s">
        <v>766</v>
      </c>
      <c r="D613" t="s">
        <v>367</v>
      </c>
      <c r="F613" t="s">
        <v>1017</v>
      </c>
      <c r="G613" t="s">
        <v>143</v>
      </c>
    </row>
    <row r="614" spans="3:7" x14ac:dyDescent="0.35">
      <c r="C614" t="s">
        <v>767</v>
      </c>
      <c r="D614" t="s">
        <v>368</v>
      </c>
      <c r="F614" t="s">
        <v>600</v>
      </c>
      <c r="G614" t="s">
        <v>182</v>
      </c>
    </row>
    <row r="615" spans="3:7" x14ac:dyDescent="0.35">
      <c r="C615" t="s">
        <v>768</v>
      </c>
      <c r="D615" t="s">
        <v>369</v>
      </c>
      <c r="F615" t="s">
        <v>458</v>
      </c>
      <c r="G615" t="s">
        <v>183</v>
      </c>
    </row>
    <row r="616" spans="3:7" x14ac:dyDescent="0.35">
      <c r="C616" t="s">
        <v>672</v>
      </c>
      <c r="D616" t="s">
        <v>370</v>
      </c>
      <c r="F616" t="s">
        <v>484</v>
      </c>
      <c r="G616" t="s">
        <v>179</v>
      </c>
    </row>
    <row r="617" spans="3:7" x14ac:dyDescent="0.35">
      <c r="C617" t="s">
        <v>769</v>
      </c>
      <c r="D617" t="s">
        <v>371</v>
      </c>
      <c r="F617" t="s">
        <v>466</v>
      </c>
      <c r="G617" t="s">
        <v>121</v>
      </c>
    </row>
    <row r="618" spans="3:7" x14ac:dyDescent="0.35">
      <c r="C618" t="s">
        <v>770</v>
      </c>
      <c r="D618" t="s">
        <v>372</v>
      </c>
      <c r="F618" t="s">
        <v>608</v>
      </c>
      <c r="G618" t="s">
        <v>78</v>
      </c>
    </row>
    <row r="619" spans="3:7" x14ac:dyDescent="0.35">
      <c r="C619" t="s">
        <v>771</v>
      </c>
      <c r="D619" t="s">
        <v>373</v>
      </c>
      <c r="F619" t="s">
        <v>539</v>
      </c>
      <c r="G619" t="s">
        <v>139</v>
      </c>
    </row>
    <row r="620" spans="3:7" x14ac:dyDescent="0.35">
      <c r="C620" t="s">
        <v>772</v>
      </c>
      <c r="D620" t="s">
        <v>374</v>
      </c>
      <c r="F620" t="s">
        <v>687</v>
      </c>
      <c r="G620" t="s">
        <v>124</v>
      </c>
    </row>
    <row r="621" spans="3:7" x14ac:dyDescent="0.35">
      <c r="C621" t="s">
        <v>773</v>
      </c>
      <c r="D621" t="s">
        <v>375</v>
      </c>
      <c r="F621" t="s">
        <v>507</v>
      </c>
      <c r="G621" t="s">
        <v>193</v>
      </c>
    </row>
    <row r="622" spans="3:7" x14ac:dyDescent="0.35">
      <c r="C622" t="s">
        <v>774</v>
      </c>
      <c r="D622" t="s">
        <v>376</v>
      </c>
      <c r="F622" t="s">
        <v>464</v>
      </c>
      <c r="G622" t="s">
        <v>114</v>
      </c>
    </row>
    <row r="623" spans="3:7" x14ac:dyDescent="0.35">
      <c r="C623" t="s">
        <v>775</v>
      </c>
      <c r="D623" t="s">
        <v>377</v>
      </c>
      <c r="F623" t="s">
        <v>427</v>
      </c>
      <c r="G623" t="s">
        <v>1018</v>
      </c>
    </row>
    <row r="624" spans="3:7" x14ac:dyDescent="0.35">
      <c r="C624" t="s">
        <v>776</v>
      </c>
      <c r="D624" t="s">
        <v>378</v>
      </c>
      <c r="F624" t="s">
        <v>637</v>
      </c>
      <c r="G624" t="s">
        <v>149</v>
      </c>
    </row>
    <row r="625" spans="3:7" x14ac:dyDescent="0.35">
      <c r="C625" t="s">
        <v>777</v>
      </c>
      <c r="D625" t="s">
        <v>379</v>
      </c>
      <c r="F625" t="s">
        <v>610</v>
      </c>
      <c r="G625" t="s">
        <v>144</v>
      </c>
    </row>
    <row r="626" spans="3:7" x14ac:dyDescent="0.35">
      <c r="C626" t="s">
        <v>778</v>
      </c>
      <c r="D626" t="s">
        <v>380</v>
      </c>
      <c r="F626" t="s">
        <v>401</v>
      </c>
      <c r="G626" t="s">
        <v>1019</v>
      </c>
    </row>
    <row r="627" spans="3:7" x14ac:dyDescent="0.35">
      <c r="C627" t="e">
        <v>#N/A</v>
      </c>
      <c r="D627" t="s">
        <v>381</v>
      </c>
      <c r="F627" t="s">
        <v>531</v>
      </c>
      <c r="G627" t="s">
        <v>187</v>
      </c>
    </row>
    <row r="628" spans="3:7" x14ac:dyDescent="0.35">
      <c r="C628" t="s">
        <v>779</v>
      </c>
      <c r="D628" t="s">
        <v>382</v>
      </c>
      <c r="F628" t="s">
        <v>1020</v>
      </c>
      <c r="G628" t="s">
        <v>82</v>
      </c>
    </row>
    <row r="629" spans="3:7" x14ac:dyDescent="0.35">
      <c r="C629" t="s">
        <v>780</v>
      </c>
      <c r="D629" t="s">
        <v>383</v>
      </c>
      <c r="F629" t="s">
        <v>1021</v>
      </c>
      <c r="G629" t="s">
        <v>998</v>
      </c>
    </row>
    <row r="630" spans="3:7" x14ac:dyDescent="0.35">
      <c r="C630" t="s">
        <v>406</v>
      </c>
      <c r="D630" t="s">
        <v>210</v>
      </c>
      <c r="F630" t="s">
        <v>674</v>
      </c>
      <c r="G630" t="s">
        <v>101</v>
      </c>
    </row>
    <row r="631" spans="3:7" x14ac:dyDescent="0.35">
      <c r="C631" t="s">
        <v>520</v>
      </c>
      <c r="D631" t="s">
        <v>90</v>
      </c>
      <c r="F631" t="s">
        <v>1022</v>
      </c>
      <c r="G631" t="s">
        <v>82</v>
      </c>
    </row>
    <row r="632" spans="3:7" x14ac:dyDescent="0.35">
      <c r="C632" t="s">
        <v>394</v>
      </c>
      <c r="D632" t="s">
        <v>10</v>
      </c>
      <c r="F632" t="s">
        <v>549</v>
      </c>
      <c r="G632" t="s">
        <v>38</v>
      </c>
    </row>
    <row r="633" spans="3:7" x14ac:dyDescent="0.35">
      <c r="C633" t="s">
        <v>451</v>
      </c>
      <c r="D633" t="s">
        <v>85</v>
      </c>
      <c r="F633" t="s">
        <v>717</v>
      </c>
      <c r="G633" t="s">
        <v>207</v>
      </c>
    </row>
    <row r="634" spans="3:7" x14ac:dyDescent="0.35">
      <c r="C634" t="s">
        <v>522</v>
      </c>
      <c r="D634" t="s">
        <v>202</v>
      </c>
      <c r="F634" t="s">
        <v>1023</v>
      </c>
      <c r="G634" t="s">
        <v>16</v>
      </c>
    </row>
    <row r="635" spans="3:7" x14ac:dyDescent="0.35">
      <c r="C635" t="s">
        <v>395</v>
      </c>
      <c r="D635" t="s">
        <v>16</v>
      </c>
      <c r="F635" t="s">
        <v>638</v>
      </c>
      <c r="G635" t="s">
        <v>330</v>
      </c>
    </row>
    <row r="636" spans="3:7" x14ac:dyDescent="0.35">
      <c r="C636" t="s">
        <v>781</v>
      </c>
      <c r="D636" t="s">
        <v>263</v>
      </c>
      <c r="F636" t="s">
        <v>693</v>
      </c>
      <c r="G636" t="s">
        <v>135</v>
      </c>
    </row>
    <row r="637" spans="3:7" x14ac:dyDescent="0.35">
      <c r="C637" t="s">
        <v>455</v>
      </c>
      <c r="D637" t="s">
        <v>58</v>
      </c>
      <c r="F637" t="s">
        <v>1024</v>
      </c>
      <c r="G637" t="s">
        <v>188</v>
      </c>
    </row>
    <row r="638" spans="3:7" x14ac:dyDescent="0.35">
      <c r="C638" t="s">
        <v>507</v>
      </c>
      <c r="D638" t="s">
        <v>193</v>
      </c>
      <c r="F638" t="s">
        <v>483</v>
      </c>
      <c r="G638" t="s">
        <v>107</v>
      </c>
    </row>
    <row r="639" spans="3:7" x14ac:dyDescent="0.35">
      <c r="C639" t="s">
        <v>493</v>
      </c>
      <c r="D639" t="s">
        <v>188</v>
      </c>
      <c r="F639" t="s">
        <v>519</v>
      </c>
      <c r="G639" t="s">
        <v>196</v>
      </c>
    </row>
    <row r="640" spans="3:7" x14ac:dyDescent="0.35">
      <c r="C640" t="s">
        <v>605</v>
      </c>
      <c r="D640" t="s">
        <v>276</v>
      </c>
      <c r="F640" t="s">
        <v>1025</v>
      </c>
      <c r="G640" t="s">
        <v>342</v>
      </c>
    </row>
    <row r="641" spans="3:7" x14ac:dyDescent="0.35">
      <c r="C641" t="s">
        <v>560</v>
      </c>
      <c r="D641" t="s">
        <v>244</v>
      </c>
      <c r="F641" t="s">
        <v>645</v>
      </c>
      <c r="G641" t="s">
        <v>18</v>
      </c>
    </row>
    <row r="642" spans="3:7" x14ac:dyDescent="0.35">
      <c r="C642" t="s">
        <v>478</v>
      </c>
      <c r="D642" t="s">
        <v>229</v>
      </c>
      <c r="F642" t="s">
        <v>1026</v>
      </c>
      <c r="G642" t="s">
        <v>20</v>
      </c>
    </row>
    <row r="643" spans="3:7" x14ac:dyDescent="0.35">
      <c r="C643" t="s">
        <v>420</v>
      </c>
      <c r="D643" t="s">
        <v>11</v>
      </c>
      <c r="F643" t="s">
        <v>1027</v>
      </c>
      <c r="G643" t="s">
        <v>82</v>
      </c>
    </row>
    <row r="644" spans="3:7" x14ac:dyDescent="0.35">
      <c r="C644" t="s">
        <v>519</v>
      </c>
      <c r="D644" t="s">
        <v>196</v>
      </c>
      <c r="F644" t="s">
        <v>738</v>
      </c>
      <c r="G644" t="s">
        <v>338</v>
      </c>
    </row>
    <row r="645" spans="3:7" x14ac:dyDescent="0.35">
      <c r="C645" t="s">
        <v>470</v>
      </c>
      <c r="D645" t="s">
        <v>48</v>
      </c>
      <c r="F645" t="s">
        <v>520</v>
      </c>
      <c r="G645" t="s">
        <v>90</v>
      </c>
    </row>
    <row r="646" spans="3:7" x14ac:dyDescent="0.35">
      <c r="C646" t="s">
        <v>452</v>
      </c>
      <c r="D646" t="s">
        <v>189</v>
      </c>
      <c r="F646" t="s">
        <v>426</v>
      </c>
      <c r="G646" t="s">
        <v>160</v>
      </c>
    </row>
    <row r="647" spans="3:7" x14ac:dyDescent="0.35">
      <c r="C647" t="s">
        <v>531</v>
      </c>
      <c r="D647" t="s">
        <v>187</v>
      </c>
      <c r="F647" t="s">
        <v>615</v>
      </c>
      <c r="G647" t="s">
        <v>205</v>
      </c>
    </row>
    <row r="648" spans="3:7" x14ac:dyDescent="0.35">
      <c r="C648" t="s">
        <v>459</v>
      </c>
      <c r="D648" t="s">
        <v>246</v>
      </c>
      <c r="F648" t="s">
        <v>586</v>
      </c>
      <c r="G648" t="s">
        <v>86</v>
      </c>
    </row>
    <row r="649" spans="3:7" x14ac:dyDescent="0.35">
      <c r="C649" t="s">
        <v>595</v>
      </c>
      <c r="D649" t="s">
        <v>204</v>
      </c>
      <c r="F649" t="s">
        <v>478</v>
      </c>
      <c r="G649" t="s">
        <v>229</v>
      </c>
    </row>
    <row r="650" spans="3:7" x14ac:dyDescent="0.35">
      <c r="C650" t="s">
        <v>549</v>
      </c>
      <c r="D650" t="s">
        <v>38</v>
      </c>
      <c r="F650" t="s">
        <v>589</v>
      </c>
      <c r="G650" t="s">
        <v>191</v>
      </c>
    </row>
    <row r="651" spans="3:7" x14ac:dyDescent="0.35">
      <c r="C651" t="s">
        <v>598</v>
      </c>
      <c r="D651" t="s">
        <v>248</v>
      </c>
      <c r="F651" t="s">
        <v>743</v>
      </c>
      <c r="G651" t="s">
        <v>343</v>
      </c>
    </row>
    <row r="652" spans="3:7" x14ac:dyDescent="0.35">
      <c r="C652" t="s">
        <v>418</v>
      </c>
      <c r="D652" t="s">
        <v>33</v>
      </c>
      <c r="F652" t="s">
        <v>563</v>
      </c>
      <c r="G652" t="s">
        <v>165</v>
      </c>
    </row>
    <row r="653" spans="3:7" x14ac:dyDescent="0.35">
      <c r="C653" t="s">
        <v>404</v>
      </c>
      <c r="D653" t="s">
        <v>44</v>
      </c>
      <c r="F653" t="s">
        <v>1028</v>
      </c>
      <c r="G653" t="s">
        <v>105</v>
      </c>
    </row>
    <row r="654" spans="3:7" x14ac:dyDescent="0.35">
      <c r="C654" t="s">
        <v>479</v>
      </c>
      <c r="D654" t="s">
        <v>24</v>
      </c>
      <c r="F654" t="s">
        <v>1029</v>
      </c>
      <c r="G654" t="s">
        <v>6</v>
      </c>
    </row>
    <row r="655" spans="3:7" x14ac:dyDescent="0.35">
      <c r="C655" t="s">
        <v>400</v>
      </c>
      <c r="D655" t="s">
        <v>83</v>
      </c>
      <c r="F655" t="s">
        <v>1030</v>
      </c>
      <c r="G655" t="s">
        <v>158</v>
      </c>
    </row>
    <row r="656" spans="3:7" x14ac:dyDescent="0.35">
      <c r="C656" t="s">
        <v>568</v>
      </c>
      <c r="D656" t="s">
        <v>293</v>
      </c>
      <c r="F656" t="s">
        <v>737</v>
      </c>
      <c r="G656" t="s">
        <v>337</v>
      </c>
    </row>
    <row r="657" spans="3:7" x14ac:dyDescent="0.35">
      <c r="C657" t="s">
        <v>545</v>
      </c>
      <c r="D657" t="s">
        <v>782</v>
      </c>
      <c r="F657" t="s">
        <v>1031</v>
      </c>
      <c r="G657" t="s">
        <v>208</v>
      </c>
    </row>
    <row r="658" spans="3:7" x14ac:dyDescent="0.35">
      <c r="C658" t="s">
        <v>565</v>
      </c>
      <c r="D658" t="s">
        <v>62</v>
      </c>
      <c r="F658" t="s">
        <v>622</v>
      </c>
      <c r="G658" t="s">
        <v>184</v>
      </c>
    </row>
    <row r="659" spans="3:7" x14ac:dyDescent="0.35">
      <c r="C659" t="s">
        <v>606</v>
      </c>
      <c r="D659" t="s">
        <v>173</v>
      </c>
      <c r="F659" t="s">
        <v>793</v>
      </c>
      <c r="G659" t="s">
        <v>43</v>
      </c>
    </row>
    <row r="660" spans="3:7" x14ac:dyDescent="0.35">
      <c r="C660" t="s">
        <v>475</v>
      </c>
      <c r="D660" t="s">
        <v>783</v>
      </c>
      <c r="F660" t="s">
        <v>697</v>
      </c>
      <c r="G660" t="s">
        <v>336</v>
      </c>
    </row>
    <row r="661" spans="3:7" x14ac:dyDescent="0.35">
      <c r="C661" t="s">
        <v>454</v>
      </c>
      <c r="D661" t="s">
        <v>91</v>
      </c>
      <c r="F661" t="s">
        <v>489</v>
      </c>
      <c r="G661" t="s">
        <v>98</v>
      </c>
    </row>
    <row r="662" spans="3:7" x14ac:dyDescent="0.35">
      <c r="C662" t="s">
        <v>427</v>
      </c>
      <c r="D662" t="s">
        <v>427</v>
      </c>
      <c r="F662" t="s">
        <v>430</v>
      </c>
      <c r="G662" t="s">
        <v>431</v>
      </c>
    </row>
    <row r="663" spans="3:7" x14ac:dyDescent="0.35">
      <c r="C663" t="s">
        <v>573</v>
      </c>
      <c r="D663" t="s">
        <v>233</v>
      </c>
      <c r="F663" t="s">
        <v>553</v>
      </c>
      <c r="G663" t="s">
        <v>47</v>
      </c>
    </row>
    <row r="664" spans="3:7" x14ac:dyDescent="0.35">
      <c r="C664" t="s">
        <v>607</v>
      </c>
      <c r="D664" t="s">
        <v>272</v>
      </c>
      <c r="F664" t="s">
        <v>707</v>
      </c>
      <c r="G664" t="s">
        <v>172</v>
      </c>
    </row>
    <row r="665" spans="3:7" x14ac:dyDescent="0.35">
      <c r="C665" t="s">
        <v>589</v>
      </c>
      <c r="D665" t="s">
        <v>191</v>
      </c>
      <c r="F665" t="s">
        <v>642</v>
      </c>
      <c r="G665" t="s">
        <v>1</v>
      </c>
    </row>
    <row r="666" spans="3:7" x14ac:dyDescent="0.35">
      <c r="C666" t="s">
        <v>608</v>
      </c>
      <c r="D666" t="s">
        <v>78</v>
      </c>
      <c r="F666" t="s">
        <v>1032</v>
      </c>
      <c r="G666" t="s">
        <v>1033</v>
      </c>
    </row>
    <row r="667" spans="3:7" x14ac:dyDescent="0.35">
      <c r="C667" t="s">
        <v>543</v>
      </c>
      <c r="D667" t="s">
        <v>130</v>
      </c>
      <c r="F667" t="s">
        <v>1034</v>
      </c>
      <c r="G667" t="s">
        <v>53</v>
      </c>
    </row>
    <row r="668" spans="3:7" x14ac:dyDescent="0.35">
      <c r="C668" t="s">
        <v>432</v>
      </c>
      <c r="D668" t="s">
        <v>69</v>
      </c>
      <c r="F668" t="s">
        <v>727</v>
      </c>
      <c r="G668" t="s">
        <v>289</v>
      </c>
    </row>
    <row r="669" spans="3:7" x14ac:dyDescent="0.35">
      <c r="C669" t="s">
        <v>578</v>
      </c>
      <c r="D669" t="s">
        <v>784</v>
      </c>
      <c r="F669" t="s">
        <v>713</v>
      </c>
      <c r="G669" t="s">
        <v>195</v>
      </c>
    </row>
    <row r="670" spans="3:7" x14ac:dyDescent="0.35">
      <c r="C670" t="s">
        <v>521</v>
      </c>
      <c r="D670" t="s">
        <v>14</v>
      </c>
      <c r="F670" t="s">
        <v>1035</v>
      </c>
      <c r="G670" t="s">
        <v>78</v>
      </c>
    </row>
    <row r="671" spans="3:7" x14ac:dyDescent="0.35">
      <c r="C671" t="s">
        <v>734</v>
      </c>
      <c r="D671" t="s">
        <v>333</v>
      </c>
      <c r="F671" t="s">
        <v>620</v>
      </c>
      <c r="G671" t="s">
        <v>21</v>
      </c>
    </row>
    <row r="672" spans="3:7" x14ac:dyDescent="0.35">
      <c r="C672" t="s">
        <v>592</v>
      </c>
      <c r="D672" t="s">
        <v>60</v>
      </c>
      <c r="F672" t="s">
        <v>689</v>
      </c>
      <c r="G672" t="s">
        <v>129</v>
      </c>
    </row>
    <row r="673" spans="3:7" x14ac:dyDescent="0.35">
      <c r="C673" t="s">
        <v>609</v>
      </c>
      <c r="D673" t="s">
        <v>277</v>
      </c>
      <c r="F673" t="s">
        <v>1036</v>
      </c>
      <c r="G673" t="s">
        <v>998</v>
      </c>
    </row>
    <row r="674" spans="3:7" x14ac:dyDescent="0.35">
      <c r="C674" t="s">
        <v>727</v>
      </c>
      <c r="D674" t="s">
        <v>289</v>
      </c>
      <c r="F674" t="s">
        <v>1037</v>
      </c>
      <c r="G674" t="s">
        <v>82</v>
      </c>
    </row>
    <row r="675" spans="3:7" x14ac:dyDescent="0.35">
      <c r="C675" t="s">
        <v>733</v>
      </c>
      <c r="D675" t="s">
        <v>316</v>
      </c>
      <c r="F675" t="s">
        <v>702</v>
      </c>
      <c r="G675" t="s">
        <v>1038</v>
      </c>
    </row>
    <row r="676" spans="3:7" x14ac:dyDescent="0.35">
      <c r="C676" t="s">
        <v>576</v>
      </c>
      <c r="D676" t="s">
        <v>577</v>
      </c>
      <c r="F676" t="s">
        <v>1039</v>
      </c>
      <c r="G676" t="s">
        <v>6</v>
      </c>
    </row>
    <row r="677" spans="3:7" x14ac:dyDescent="0.35">
      <c r="C677" t="s">
        <v>551</v>
      </c>
      <c r="D677" t="s">
        <v>552</v>
      </c>
      <c r="F677" t="s">
        <v>718</v>
      </c>
      <c r="G677" t="s">
        <v>212</v>
      </c>
    </row>
    <row r="678" spans="3:7" x14ac:dyDescent="0.35">
      <c r="C678" t="s">
        <v>524</v>
      </c>
      <c r="D678" t="s">
        <v>158</v>
      </c>
      <c r="F678" t="s">
        <v>655</v>
      </c>
      <c r="G678" t="s">
        <v>42</v>
      </c>
    </row>
    <row r="679" spans="3:7" x14ac:dyDescent="0.35">
      <c r="C679" t="s">
        <v>435</v>
      </c>
      <c r="D679" t="s">
        <v>56</v>
      </c>
      <c r="F679" t="s">
        <v>1040</v>
      </c>
      <c r="G679" t="s">
        <v>1041</v>
      </c>
    </row>
    <row r="680" spans="3:7" x14ac:dyDescent="0.35">
      <c r="C680" t="s">
        <v>610</v>
      </c>
      <c r="D680" t="s">
        <v>144</v>
      </c>
      <c r="F680" t="s">
        <v>518</v>
      </c>
      <c r="G680" t="s">
        <v>178</v>
      </c>
    </row>
    <row r="681" spans="3:7" x14ac:dyDescent="0.35">
      <c r="C681" t="s">
        <v>518</v>
      </c>
      <c r="D681" t="s">
        <v>178</v>
      </c>
      <c r="F681" t="s">
        <v>1042</v>
      </c>
      <c r="G681" t="s">
        <v>53</v>
      </c>
    </row>
    <row r="682" spans="3:7" x14ac:dyDescent="0.35">
      <c r="C682" t="s">
        <v>442</v>
      </c>
      <c r="D682" t="s">
        <v>443</v>
      </c>
      <c r="F682" t="s">
        <v>744</v>
      </c>
      <c r="G682" t="s">
        <v>344</v>
      </c>
    </row>
    <row r="683" spans="3:7" x14ac:dyDescent="0.35">
      <c r="C683" t="s">
        <v>391</v>
      </c>
      <c r="D683" t="s">
        <v>22</v>
      </c>
      <c r="F683" t="s">
        <v>741</v>
      </c>
      <c r="G683" t="s">
        <v>341</v>
      </c>
    </row>
    <row r="684" spans="3:7" x14ac:dyDescent="0.35">
      <c r="C684" t="s">
        <v>726</v>
      </c>
      <c r="D684" t="s">
        <v>286</v>
      </c>
      <c r="F684" t="s">
        <v>716</v>
      </c>
      <c r="G684" t="s">
        <v>201</v>
      </c>
    </row>
    <row r="685" spans="3:7" x14ac:dyDescent="0.35">
      <c r="C685" t="s">
        <v>675</v>
      </c>
      <c r="D685" t="s">
        <v>785</v>
      </c>
      <c r="F685" t="s">
        <v>739</v>
      </c>
      <c r="G685" t="s">
        <v>339</v>
      </c>
    </row>
    <row r="686" spans="3:7" x14ac:dyDescent="0.35">
      <c r="C686" t="s">
        <v>574</v>
      </c>
      <c r="D686" t="s">
        <v>72</v>
      </c>
      <c r="F686" t="s">
        <v>1043</v>
      </c>
      <c r="G686" t="s">
        <v>108</v>
      </c>
    </row>
    <row r="687" spans="3:7" x14ac:dyDescent="0.35">
      <c r="C687" t="s">
        <v>465</v>
      </c>
      <c r="D687" t="s">
        <v>219</v>
      </c>
      <c r="F687" t="s">
        <v>1044</v>
      </c>
      <c r="G687" t="s">
        <v>82</v>
      </c>
    </row>
    <row r="688" spans="3:7" x14ac:dyDescent="0.35">
      <c r="C688" t="s">
        <v>571</v>
      </c>
      <c r="D688" t="s">
        <v>310</v>
      </c>
      <c r="F688" t="s">
        <v>1045</v>
      </c>
      <c r="G688" t="s">
        <v>1019</v>
      </c>
    </row>
    <row r="689" spans="3:7" x14ac:dyDescent="0.35">
      <c r="C689" t="s">
        <v>446</v>
      </c>
      <c r="D689" t="s">
        <v>446</v>
      </c>
      <c r="F689" t="s">
        <v>694</v>
      </c>
      <c r="G689" t="s">
        <v>1046</v>
      </c>
    </row>
    <row r="690" spans="3:7" x14ac:dyDescent="0.35">
      <c r="C690" t="s">
        <v>430</v>
      </c>
      <c r="D690" t="s">
        <v>431</v>
      </c>
      <c r="F690" t="s">
        <v>664</v>
      </c>
      <c r="G690" t="s">
        <v>73</v>
      </c>
    </row>
    <row r="691" spans="3:7" x14ac:dyDescent="0.35">
      <c r="C691" t="s">
        <v>600</v>
      </c>
      <c r="D691" t="s">
        <v>182</v>
      </c>
      <c r="F691" t="s">
        <v>686</v>
      </c>
      <c r="G691" t="s">
        <v>123</v>
      </c>
    </row>
    <row r="692" spans="3:7" x14ac:dyDescent="0.35">
      <c r="C692" t="s">
        <v>611</v>
      </c>
      <c r="D692" t="s">
        <v>108</v>
      </c>
      <c r="F692" t="s">
        <v>1047</v>
      </c>
      <c r="G692" t="s">
        <v>6</v>
      </c>
    </row>
    <row r="693" spans="3:7" x14ac:dyDescent="0.35">
      <c r="C693" t="s">
        <v>433</v>
      </c>
      <c r="D693" t="s">
        <v>81</v>
      </c>
      <c r="F693" t="s">
        <v>1048</v>
      </c>
      <c r="G693" t="s">
        <v>82</v>
      </c>
    </row>
    <row r="694" spans="3:7" x14ac:dyDescent="0.35">
      <c r="C694" t="s">
        <v>599</v>
      </c>
      <c r="D694" t="s">
        <v>49</v>
      </c>
      <c r="F694" t="s">
        <v>605</v>
      </c>
      <c r="G694" t="s">
        <v>276</v>
      </c>
    </row>
    <row r="695" spans="3:7" x14ac:dyDescent="0.35">
      <c r="C695" t="s">
        <v>439</v>
      </c>
      <c r="D695" t="s">
        <v>46</v>
      </c>
      <c r="F695" t="s">
        <v>407</v>
      </c>
      <c r="G695" t="s">
        <v>95</v>
      </c>
    </row>
    <row r="696" spans="3:7" x14ac:dyDescent="0.35">
      <c r="C696" t="s">
        <v>437</v>
      </c>
      <c r="D696" t="s">
        <v>181</v>
      </c>
      <c r="F696" t="s">
        <v>633</v>
      </c>
      <c r="G696" t="s">
        <v>84</v>
      </c>
    </row>
    <row r="697" spans="3:7" x14ac:dyDescent="0.35">
      <c r="C697" t="s">
        <v>407</v>
      </c>
      <c r="D697" t="s">
        <v>786</v>
      </c>
      <c r="F697" t="s">
        <v>728</v>
      </c>
      <c r="G697" t="s">
        <v>292</v>
      </c>
    </row>
    <row r="698" spans="3:7" x14ac:dyDescent="0.35">
      <c r="C698" t="s">
        <v>584</v>
      </c>
      <c r="D698" t="s">
        <v>77</v>
      </c>
      <c r="F698" t="s">
        <v>597</v>
      </c>
      <c r="G698" t="s">
        <v>227</v>
      </c>
    </row>
    <row r="699" spans="3:7" x14ac:dyDescent="0.35">
      <c r="C699" t="s">
        <v>602</v>
      </c>
      <c r="D699" t="s">
        <v>156</v>
      </c>
      <c r="F699" t="s">
        <v>708</v>
      </c>
      <c r="G699" t="s">
        <v>177</v>
      </c>
    </row>
    <row r="700" spans="3:7" x14ac:dyDescent="0.35">
      <c r="C700" t="s">
        <v>590</v>
      </c>
      <c r="D700" t="s">
        <v>787</v>
      </c>
      <c r="F700" t="s">
        <v>700</v>
      </c>
      <c r="G700" t="s">
        <v>151</v>
      </c>
    </row>
    <row r="701" spans="3:7" x14ac:dyDescent="0.35">
      <c r="C701" t="s">
        <v>483</v>
      </c>
      <c r="D701" t="s">
        <v>107</v>
      </c>
      <c r="F701" t="s">
        <v>659</v>
      </c>
      <c r="G701" t="s">
        <v>61</v>
      </c>
    </row>
    <row r="702" spans="3:7" x14ac:dyDescent="0.35">
      <c r="C702" t="s">
        <v>729</v>
      </c>
      <c r="D702" t="s">
        <v>297</v>
      </c>
      <c r="F702" t="s">
        <v>1049</v>
      </c>
      <c r="G702" t="s">
        <v>82</v>
      </c>
    </row>
    <row r="703" spans="3:7" x14ac:dyDescent="0.35">
      <c r="C703" t="s">
        <v>489</v>
      </c>
      <c r="D703" t="s">
        <v>98</v>
      </c>
      <c r="F703" t="s">
        <v>1050</v>
      </c>
      <c r="G703" t="s">
        <v>82</v>
      </c>
    </row>
    <row r="704" spans="3:7" x14ac:dyDescent="0.35">
      <c r="C704" t="s">
        <v>583</v>
      </c>
      <c r="D704" t="s">
        <v>304</v>
      </c>
      <c r="F704" t="s">
        <v>649</v>
      </c>
      <c r="G704" t="s">
        <v>1051</v>
      </c>
    </row>
    <row r="705" spans="3:7" x14ac:dyDescent="0.35">
      <c r="C705" t="s">
        <v>473</v>
      </c>
      <c r="D705" t="s">
        <v>55</v>
      </c>
      <c r="F705" t="s">
        <v>410</v>
      </c>
      <c r="G705" t="s">
        <v>197</v>
      </c>
    </row>
    <row r="706" spans="3:7" x14ac:dyDescent="0.35">
      <c r="C706" t="s">
        <v>720</v>
      </c>
      <c r="D706" t="s">
        <v>245</v>
      </c>
      <c r="F706" t="s">
        <v>533</v>
      </c>
      <c r="G706" t="s">
        <v>309</v>
      </c>
    </row>
    <row r="707" spans="3:7" x14ac:dyDescent="0.35">
      <c r="C707" t="s">
        <v>553</v>
      </c>
      <c r="D707" t="s">
        <v>47</v>
      </c>
      <c r="F707" t="s">
        <v>1052</v>
      </c>
      <c r="G707" t="s">
        <v>27</v>
      </c>
    </row>
    <row r="708" spans="3:7" x14ac:dyDescent="0.35">
      <c r="C708" t="s">
        <v>541</v>
      </c>
      <c r="D708" t="s">
        <v>788</v>
      </c>
      <c r="F708" t="s">
        <v>603</v>
      </c>
      <c r="G708" t="s">
        <v>257</v>
      </c>
    </row>
    <row r="709" spans="3:7" x14ac:dyDescent="0.35">
      <c r="C709" t="s">
        <v>445</v>
      </c>
      <c r="D709" t="s">
        <v>75</v>
      </c>
      <c r="F709" t="s">
        <v>1053</v>
      </c>
      <c r="G709" t="s">
        <v>15</v>
      </c>
    </row>
    <row r="710" spans="3:7" x14ac:dyDescent="0.35">
      <c r="C710" t="s">
        <v>789</v>
      </c>
      <c r="D710" t="s">
        <v>790</v>
      </c>
      <c r="F710" t="s">
        <v>682</v>
      </c>
      <c r="G710" t="s">
        <v>117</v>
      </c>
    </row>
    <row r="711" spans="3:7" x14ac:dyDescent="0.35">
      <c r="C711" t="s">
        <v>426</v>
      </c>
      <c r="D711" t="s">
        <v>426</v>
      </c>
      <c r="F711" t="s">
        <v>1054</v>
      </c>
      <c r="G711" t="s">
        <v>59</v>
      </c>
    </row>
    <row r="712" spans="3:7" x14ac:dyDescent="0.35">
      <c r="C712" t="s">
        <v>586</v>
      </c>
      <c r="D712" t="s">
        <v>86</v>
      </c>
      <c r="F712" t="s">
        <v>1055</v>
      </c>
      <c r="G712" t="s">
        <v>998</v>
      </c>
    </row>
    <row r="713" spans="3:7" x14ac:dyDescent="0.35">
      <c r="C713" t="s">
        <v>721</v>
      </c>
      <c r="D713" t="s">
        <v>249</v>
      </c>
      <c r="F713" t="s">
        <v>736</v>
      </c>
      <c r="G713" t="s">
        <v>335</v>
      </c>
    </row>
    <row r="714" spans="3:7" x14ac:dyDescent="0.35">
      <c r="C714" t="s">
        <v>556</v>
      </c>
      <c r="D714" t="s">
        <v>41</v>
      </c>
      <c r="F714" t="s">
        <v>437</v>
      </c>
      <c r="G714" t="s">
        <v>181</v>
      </c>
    </row>
    <row r="715" spans="3:7" x14ac:dyDescent="0.35">
      <c r="C715" t="s">
        <v>460</v>
      </c>
      <c r="D715" t="s">
        <v>791</v>
      </c>
      <c r="F715" t="s">
        <v>566</v>
      </c>
      <c r="G715" t="s">
        <v>237</v>
      </c>
    </row>
    <row r="716" spans="3:7" x14ac:dyDescent="0.35">
      <c r="C716" t="s">
        <v>719</v>
      </c>
      <c r="D716" t="s">
        <v>239</v>
      </c>
      <c r="F716" t="s">
        <v>1056</v>
      </c>
      <c r="G716" t="s">
        <v>208</v>
      </c>
    </row>
    <row r="717" spans="3:7" x14ac:dyDescent="0.35">
      <c r="C717" t="s">
        <v>487</v>
      </c>
      <c r="D717" t="s">
        <v>792</v>
      </c>
      <c r="F717" t="s">
        <v>606</v>
      </c>
      <c r="G717" t="s">
        <v>173</v>
      </c>
    </row>
    <row r="718" spans="3:7" x14ac:dyDescent="0.35">
      <c r="C718" t="s">
        <v>533</v>
      </c>
      <c r="D718" t="s">
        <v>309</v>
      </c>
      <c r="F718" t="s">
        <v>1057</v>
      </c>
      <c r="G718" t="s">
        <v>335</v>
      </c>
    </row>
    <row r="719" spans="3:7" x14ac:dyDescent="0.35">
      <c r="C719" t="s">
        <v>793</v>
      </c>
      <c r="D719" t="s">
        <v>794</v>
      </c>
      <c r="F719" t="s">
        <v>701</v>
      </c>
      <c r="G719" t="s">
        <v>1058</v>
      </c>
    </row>
    <row r="720" spans="3:7" x14ac:dyDescent="0.35">
      <c r="C720" t="s">
        <v>795</v>
      </c>
      <c r="D720" t="s">
        <v>8</v>
      </c>
      <c r="F720" t="s">
        <v>497</v>
      </c>
      <c r="G720" t="s">
        <v>155</v>
      </c>
    </row>
    <row r="721" spans="3:7" x14ac:dyDescent="0.35">
      <c r="C721" t="s">
        <v>468</v>
      </c>
      <c r="D721" t="s">
        <v>54</v>
      </c>
      <c r="F721" t="s">
        <v>735</v>
      </c>
      <c r="G721" t="s">
        <v>334</v>
      </c>
    </row>
    <row r="722" spans="3:7" x14ac:dyDescent="0.35">
      <c r="C722" t="s">
        <v>585</v>
      </c>
      <c r="D722" t="s">
        <v>126</v>
      </c>
      <c r="F722" t="s">
        <v>1059</v>
      </c>
      <c r="G722" t="s">
        <v>78</v>
      </c>
    </row>
    <row r="723" spans="3:7" x14ac:dyDescent="0.35">
      <c r="C723" t="s">
        <v>436</v>
      </c>
      <c r="D723" t="s">
        <v>250</v>
      </c>
      <c r="F723" t="s">
        <v>573</v>
      </c>
      <c r="G723" t="s">
        <v>233</v>
      </c>
    </row>
    <row r="724" spans="3:7" x14ac:dyDescent="0.35">
      <c r="C724" t="s">
        <v>464</v>
      </c>
      <c r="D724" t="s">
        <v>114</v>
      </c>
    </row>
    <row r="725" spans="3:7" x14ac:dyDescent="0.35">
      <c r="C725" t="s">
        <v>458</v>
      </c>
      <c r="D725" t="s">
        <v>183</v>
      </c>
    </row>
    <row r="726" spans="3:7" x14ac:dyDescent="0.35">
      <c r="C726" t="s">
        <v>730</v>
      </c>
      <c r="D726" t="s">
        <v>303</v>
      </c>
    </row>
    <row r="727" spans="3:7" x14ac:dyDescent="0.35">
      <c r="C727" t="s">
        <v>515</v>
      </c>
      <c r="D727" t="s">
        <v>321</v>
      </c>
    </row>
    <row r="728" spans="3:7" x14ac:dyDescent="0.35">
      <c r="C728" t="s">
        <v>434</v>
      </c>
      <c r="D728" t="s">
        <v>231</v>
      </c>
    </row>
    <row r="729" spans="3:7" x14ac:dyDescent="0.35">
      <c r="C729" t="s">
        <v>499</v>
      </c>
      <c r="D729" t="s">
        <v>247</v>
      </c>
    </row>
    <row r="730" spans="3:7" x14ac:dyDescent="0.35">
      <c r="C730" t="s">
        <v>450</v>
      </c>
      <c r="D730" t="s">
        <v>253</v>
      </c>
    </row>
    <row r="731" spans="3:7" x14ac:dyDescent="0.35">
      <c r="C731" t="s">
        <v>466</v>
      </c>
      <c r="D731" t="s">
        <v>796</v>
      </c>
    </row>
    <row r="732" spans="3:7" x14ac:dyDescent="0.35">
      <c r="C732" t="s">
        <v>509</v>
      </c>
      <c r="D732" t="s">
        <v>175</v>
      </c>
    </row>
    <row r="733" spans="3:7" x14ac:dyDescent="0.35">
      <c r="C733" t="s">
        <v>414</v>
      </c>
      <c r="D733" t="s">
        <v>415</v>
      </c>
    </row>
    <row r="734" spans="3:7" x14ac:dyDescent="0.35">
      <c r="C734" t="s">
        <v>612</v>
      </c>
      <c r="D734" t="s">
        <v>143</v>
      </c>
    </row>
    <row r="735" spans="3:7" x14ac:dyDescent="0.35">
      <c r="C735" t="s">
        <v>563</v>
      </c>
      <c r="D735" t="s">
        <v>165</v>
      </c>
    </row>
    <row r="736" spans="3:7" x14ac:dyDescent="0.35">
      <c r="C736" t="s">
        <v>403</v>
      </c>
      <c r="D736" t="s">
        <v>208</v>
      </c>
    </row>
    <row r="737" spans="3:4" x14ac:dyDescent="0.35">
      <c r="C737" t="s">
        <v>557</v>
      </c>
      <c r="D737" t="s">
        <v>262</v>
      </c>
    </row>
    <row r="738" spans="3:4" x14ac:dyDescent="0.35">
      <c r="C738" t="s">
        <v>491</v>
      </c>
      <c r="D738" t="s">
        <v>491</v>
      </c>
    </row>
    <row r="739" spans="3:4" x14ac:dyDescent="0.35">
      <c r="C739" t="s">
        <v>528</v>
      </c>
      <c r="D739" t="s">
        <v>136</v>
      </c>
    </row>
    <row r="740" spans="3:4" x14ac:dyDescent="0.35">
      <c r="C740" t="s">
        <v>388</v>
      </c>
      <c r="D740" t="s">
        <v>3</v>
      </c>
    </row>
    <row r="741" spans="3:4" x14ac:dyDescent="0.35">
      <c r="C741" t="s">
        <v>481</v>
      </c>
      <c r="D741" t="s">
        <v>102</v>
      </c>
    </row>
    <row r="742" spans="3:4" x14ac:dyDescent="0.35">
      <c r="C742" t="s">
        <v>596</v>
      </c>
      <c r="D742" t="s">
        <v>285</v>
      </c>
    </row>
    <row r="743" spans="3:4" x14ac:dyDescent="0.35">
      <c r="C743" t="s">
        <v>588</v>
      </c>
      <c r="D743" t="s">
        <v>228</v>
      </c>
    </row>
    <row r="744" spans="3:4" x14ac:dyDescent="0.35">
      <c r="C744" t="s">
        <v>416</v>
      </c>
      <c r="D744" t="s">
        <v>417</v>
      </c>
    </row>
    <row r="745" spans="3:4" x14ac:dyDescent="0.35">
      <c r="C745" t="s">
        <v>500</v>
      </c>
      <c r="D745" t="s">
        <v>99</v>
      </c>
    </row>
    <row r="746" spans="3:4" x14ac:dyDescent="0.35">
      <c r="C746" t="s">
        <v>402</v>
      </c>
      <c r="D746" t="s">
        <v>211</v>
      </c>
    </row>
    <row r="747" spans="3:4" x14ac:dyDescent="0.35">
      <c r="C747" t="s">
        <v>401</v>
      </c>
      <c r="D747" t="s">
        <v>13</v>
      </c>
    </row>
    <row r="748" spans="3:4" x14ac:dyDescent="0.35">
      <c r="C748" t="s">
        <v>580</v>
      </c>
      <c r="D748" t="s">
        <v>797</v>
      </c>
    </row>
    <row r="749" spans="3:4" x14ac:dyDescent="0.35">
      <c r="C749" t="s">
        <v>591</v>
      </c>
      <c r="D749" t="s">
        <v>59</v>
      </c>
    </row>
    <row r="750" spans="3:4" x14ac:dyDescent="0.35">
      <c r="C750" t="s">
        <v>535</v>
      </c>
      <c r="D750" t="s">
        <v>168</v>
      </c>
    </row>
    <row r="751" spans="3:4" x14ac:dyDescent="0.35">
      <c r="C751" t="s">
        <v>398</v>
      </c>
      <c r="D751" t="s">
        <v>399</v>
      </c>
    </row>
    <row r="752" spans="3:4" x14ac:dyDescent="0.35">
      <c r="C752" t="s">
        <v>569</v>
      </c>
      <c r="D752" t="s">
        <v>176</v>
      </c>
    </row>
    <row r="753" spans="3:4" x14ac:dyDescent="0.35">
      <c r="C753" t="s">
        <v>511</v>
      </c>
      <c r="D753" t="s">
        <v>232</v>
      </c>
    </row>
    <row r="754" spans="3:4" x14ac:dyDescent="0.35">
      <c r="C754" t="s">
        <v>506</v>
      </c>
      <c r="D754" t="s">
        <v>100</v>
      </c>
    </row>
    <row r="755" spans="3:4" x14ac:dyDescent="0.35">
      <c r="C755" t="s">
        <v>542</v>
      </c>
      <c r="D755" t="s">
        <v>273</v>
      </c>
    </row>
    <row r="756" spans="3:4" x14ac:dyDescent="0.35">
      <c r="C756" t="s">
        <v>484</v>
      </c>
      <c r="D756" t="s">
        <v>179</v>
      </c>
    </row>
    <row r="757" spans="3:4" x14ac:dyDescent="0.35">
      <c r="C757" t="s">
        <v>498</v>
      </c>
      <c r="D757" t="s">
        <v>142</v>
      </c>
    </row>
    <row r="758" spans="3:4" x14ac:dyDescent="0.35">
      <c r="C758" t="s">
        <v>440</v>
      </c>
      <c r="D758" t="s">
        <v>798</v>
      </c>
    </row>
    <row r="759" spans="3:4" x14ac:dyDescent="0.35">
      <c r="C759" t="s">
        <v>527</v>
      </c>
      <c r="D759" t="s">
        <v>283</v>
      </c>
    </row>
    <row r="760" spans="3:4" x14ac:dyDescent="0.35">
      <c r="C760" t="s">
        <v>654</v>
      </c>
      <c r="D760" t="s">
        <v>799</v>
      </c>
    </row>
    <row r="761" spans="3:4" x14ac:dyDescent="0.35">
      <c r="C761" t="s">
        <v>587</v>
      </c>
      <c r="D761" t="s">
        <v>110</v>
      </c>
    </row>
    <row r="762" spans="3:4" x14ac:dyDescent="0.35">
      <c r="C762" t="s">
        <v>594</v>
      </c>
      <c r="D762" t="s">
        <v>315</v>
      </c>
    </row>
    <row r="763" spans="3:4" x14ac:dyDescent="0.35">
      <c r="C763" t="s">
        <v>472</v>
      </c>
      <c r="D763" t="s">
        <v>20</v>
      </c>
    </row>
    <row r="764" spans="3:4" x14ac:dyDescent="0.35">
      <c r="C764" t="s">
        <v>540</v>
      </c>
      <c r="D764" t="s">
        <v>216</v>
      </c>
    </row>
    <row r="765" spans="3:4" x14ac:dyDescent="0.35">
      <c r="C765" t="s">
        <v>562</v>
      </c>
      <c r="D765" t="s">
        <v>164</v>
      </c>
    </row>
    <row r="766" spans="3:4" x14ac:dyDescent="0.35">
      <c r="C766" t="s">
        <v>597</v>
      </c>
      <c r="D766" t="s">
        <v>227</v>
      </c>
    </row>
    <row r="767" spans="3:4" x14ac:dyDescent="0.35">
      <c r="C767" t="s">
        <v>421</v>
      </c>
      <c r="D767" t="s">
        <v>422</v>
      </c>
    </row>
    <row r="768" spans="3:4" x14ac:dyDescent="0.35">
      <c r="C768" t="s">
        <v>706</v>
      </c>
      <c r="D768" t="s">
        <v>171</v>
      </c>
    </row>
    <row r="769" spans="3:4" x14ac:dyDescent="0.35">
      <c r="C769" t="s">
        <v>725</v>
      </c>
      <c r="D769" t="s">
        <v>275</v>
      </c>
    </row>
    <row r="770" spans="3:4" x14ac:dyDescent="0.35">
      <c r="C770" t="s">
        <v>449</v>
      </c>
      <c r="D770" t="s">
        <v>800</v>
      </c>
    </row>
    <row r="771" spans="3:4" x14ac:dyDescent="0.35">
      <c r="C771" t="s">
        <v>613</v>
      </c>
      <c r="D771" t="s">
        <v>66</v>
      </c>
    </row>
    <row r="772" spans="3:4" x14ac:dyDescent="0.35">
      <c r="C772" t="s">
        <v>561</v>
      </c>
      <c r="D772" t="s">
        <v>134</v>
      </c>
    </row>
    <row r="773" spans="3:4" x14ac:dyDescent="0.35">
      <c r="C773" t="s">
        <v>564</v>
      </c>
      <c r="D773" t="s">
        <v>308</v>
      </c>
    </row>
    <row r="774" spans="3:4" x14ac:dyDescent="0.35">
      <c r="C774" t="s">
        <v>555</v>
      </c>
      <c r="D774" t="s">
        <v>271</v>
      </c>
    </row>
    <row r="775" spans="3:4" x14ac:dyDescent="0.35">
      <c r="C775" t="s">
        <v>603</v>
      </c>
      <c r="D775" t="s">
        <v>257</v>
      </c>
    </row>
    <row r="776" spans="3:4" x14ac:dyDescent="0.35">
      <c r="C776" t="s">
        <v>532</v>
      </c>
      <c r="D776" t="s">
        <v>199</v>
      </c>
    </row>
    <row r="777" spans="3:4" x14ac:dyDescent="0.35">
      <c r="C777" t="s">
        <v>567</v>
      </c>
      <c r="D777" t="s">
        <v>170</v>
      </c>
    </row>
    <row r="778" spans="3:4" x14ac:dyDescent="0.35">
      <c r="C778" t="s">
        <v>604</v>
      </c>
      <c r="D778" t="s">
        <v>167</v>
      </c>
    </row>
    <row r="779" spans="3:4" x14ac:dyDescent="0.35">
      <c r="C779" t="s">
        <v>492</v>
      </c>
      <c r="D779" t="s">
        <v>288</v>
      </c>
    </row>
    <row r="780" spans="3:4" x14ac:dyDescent="0.35">
      <c r="C780" t="s">
        <v>441</v>
      </c>
      <c r="D780" t="s">
        <v>32</v>
      </c>
    </row>
    <row r="781" spans="3:4" x14ac:dyDescent="0.35">
      <c r="C781" t="s">
        <v>396</v>
      </c>
      <c r="D781" t="s">
        <v>801</v>
      </c>
    </row>
    <row r="782" spans="3:4" x14ac:dyDescent="0.35">
      <c r="C782" t="s">
        <v>546</v>
      </c>
      <c r="D782" t="s">
        <v>118</v>
      </c>
    </row>
    <row r="783" spans="3:4" x14ac:dyDescent="0.35">
      <c r="C783" t="s">
        <v>691</v>
      </c>
      <c r="D783" t="s">
        <v>132</v>
      </c>
    </row>
    <row r="784" spans="3:4" x14ac:dyDescent="0.35">
      <c r="C784" t="s">
        <v>566</v>
      </c>
      <c r="D784" t="s">
        <v>237</v>
      </c>
    </row>
    <row r="785" spans="3:4" x14ac:dyDescent="0.35">
      <c r="C785" t="s">
        <v>471</v>
      </c>
      <c r="D785" t="s">
        <v>802</v>
      </c>
    </row>
    <row r="786" spans="3:4" x14ac:dyDescent="0.35">
      <c r="C786" t="s">
        <v>581</v>
      </c>
      <c r="D786" t="s">
        <v>225</v>
      </c>
    </row>
    <row r="787" spans="3:4" x14ac:dyDescent="0.35">
      <c r="C787" t="s">
        <v>438</v>
      </c>
      <c r="D787" t="s">
        <v>256</v>
      </c>
    </row>
    <row r="788" spans="3:4" x14ac:dyDescent="0.35">
      <c r="C788" t="s">
        <v>495</v>
      </c>
      <c r="D788" t="s">
        <v>496</v>
      </c>
    </row>
    <row r="789" spans="3:4" x14ac:dyDescent="0.35">
      <c r="C789" t="s">
        <v>732</v>
      </c>
      <c r="D789" t="s">
        <v>312</v>
      </c>
    </row>
    <row r="790" spans="3:4" x14ac:dyDescent="0.35">
      <c r="C790" t="s">
        <v>425</v>
      </c>
      <c r="D790" t="s">
        <v>39</v>
      </c>
    </row>
    <row r="791" spans="3:4" x14ac:dyDescent="0.35">
      <c r="C791" t="s">
        <v>413</v>
      </c>
      <c r="D791" t="s">
        <v>7</v>
      </c>
    </row>
    <row r="792" spans="3:4" x14ac:dyDescent="0.35">
      <c r="C792" t="s">
        <v>526</v>
      </c>
      <c r="D792" t="s">
        <v>234</v>
      </c>
    </row>
    <row r="793" spans="3:4" x14ac:dyDescent="0.35">
      <c r="C793" t="s">
        <v>539</v>
      </c>
      <c r="D793" t="s">
        <v>139</v>
      </c>
    </row>
  </sheetData>
  <autoFilter ref="X2:AB2" xr:uid="{9D7B7F61-56A7-4B5E-8395-EBC3491EEC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 (2)</vt:lpstr>
      <vt:lpstr>Making process</vt:lpstr>
      <vt:lpstr>view</vt:lpstr>
      <vt:lpstr>Base</vt:lpstr>
      <vt:lpstr>Sheet1</vt:lpstr>
      <vt:lpstr>master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Pilla Sai Ganesh</dc:creator>
  <cp:lastModifiedBy>Pilla Sai Ganesh</cp:lastModifiedBy>
  <dcterms:created xsi:type="dcterms:W3CDTF">2015-06-05T18:17:20Z</dcterms:created>
  <dcterms:modified xsi:type="dcterms:W3CDTF">2026-09-18T12:02:33Z</dcterms:modified>
</cp:coreProperties>
</file>